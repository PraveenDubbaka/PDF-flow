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29" codeName="{B6124F1A-AFFB-F854-7757-9A1D4C6FC43C}"/>
  <workbookPr codeName="ThisWorkbook"/>
  <mc:AlternateContent xmlns:mc="http://schemas.openxmlformats.org/markup-compatibility/2006">
    <mc:Choice Requires="x15">
      <x15ac:absPath xmlns:x15ac="http://schemas.microsoft.com/office/spreadsheetml/2010/11/ac" url="C:\_WORK_local\MDS20449 - PEG 2021 (CAS 315 Forms)\EN\processed\"/>
    </mc:Choice>
  </mc:AlternateContent>
  <xr:revisionPtr revIDLastSave="0" documentId="13_ncr:1_{23DCBFF5-3599-4B4E-BE98-94CE73AB1BFC}" xr6:coauthVersionLast="47" xr6:coauthVersionMax="47" xr10:uidLastSave="{00000000-0000-0000-0000-000000000000}"/>
  <bookViews>
    <workbookView xWindow="0" yWindow="-20370" windowWidth="38400" windowHeight="18310" xr2:uid="{00000000-000D-0000-FFFF-FFFF00000000}"/>
  </bookViews>
  <sheets>
    <sheet name="501 - Part A" sheetId="1" r:id="rId1"/>
    <sheet name="501 - Part B" sheetId="2" r:id="rId2"/>
    <sheet name="501- Part C" sheetId="3" r:id="rId3"/>
    <sheet name="programming" sheetId="4" state="hidden" r:id="rId4"/>
  </sheets>
  <definedNames>
    <definedName name="budget">'501 - Part B'!$E$13</definedName>
    <definedName name="budget1">'501 - Part B'!$G$14</definedName>
    <definedName name="budget2">'501 - Part B'!$H$14</definedName>
    <definedName name="current">'501 - Part B'!$D$8</definedName>
    <definedName name="OLE_LINK1" localSheetId="0">'501 - Part A'!#REF!</definedName>
    <definedName name="PartA">'501 - Part A'!$A$7</definedName>
    <definedName name="partB">'501 - Part B'!$A$6</definedName>
    <definedName name="PartC">'501- Part C'!$A$6</definedName>
    <definedName name="_xlnm.Print_Area" localSheetId="0">'501 - Part A'!$A$1:$F$15</definedName>
    <definedName name="_xlnm.Print_Area" localSheetId="1">'501 - Part B'!$A$1:$M$119</definedName>
    <definedName name="_xlnm.Print_Area" localSheetId="2">'501- Part C'!$A$1:$G$26</definedName>
    <definedName name="prior">'501 - Part B'!$D$9</definedName>
    <definedName name="prior_period">'501 - Part B'!$F$13</definedName>
    <definedName name="Prior_period1">'501 - Part B'!$I$14</definedName>
    <definedName name="Prior_period2">'501 - Part B'!$J$14</definedName>
    <definedName name="rev_streams">programming!$B$4:$B$8</definedName>
    <definedName name="stream">'501 - Part B'!$D$10</definedName>
    <definedName name="stream1">'501 - Part B'!$A$16</definedName>
    <definedName name="stream1.1">'501 - Part B'!$A$23</definedName>
    <definedName name="stream1.2">'501 - Part B'!$A$30</definedName>
    <definedName name="stream1.3">'501 - Part B'!$A$37</definedName>
    <definedName name="stream2">'501 - Part B'!$A$17</definedName>
    <definedName name="stream2.1">'501 - Part B'!$A$24</definedName>
    <definedName name="stream2.2">'501 - Part B'!$A$31</definedName>
    <definedName name="stream2.3">'501 - Part B'!$A$38</definedName>
    <definedName name="stream3">'501 - Part B'!$A$18</definedName>
    <definedName name="stream3.1">'501 - Part B'!$A$25</definedName>
    <definedName name="stream3.2">'501 - Part B'!$A$32</definedName>
    <definedName name="stream3.3">'501 - Part B'!$A$39</definedName>
    <definedName name="stream4">'501 - Part B'!$A$19</definedName>
    <definedName name="stream4.1">'501 - Part B'!$A$26</definedName>
    <definedName name="stream4.2">'501 - Part B'!$A$33</definedName>
    <definedName name="stream4.3">'501 - Part B'!$A$40</definedName>
    <definedName name="stream5">'501 - Part B'!$A$20</definedName>
    <definedName name="stream5.1">'501 - Part B'!$A$27</definedName>
    <definedName name="stream5.2">'501 - Part B'!$A$34</definedName>
    <definedName name="stream5.3">'501 - Part B'!$A$41</definedName>
    <definedName name="yes_no">programming!$A$4:$A$6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1" i="2" l="1"/>
  <c r="D28" i="2"/>
  <c r="D31" i="2"/>
  <c r="I31" i="2" s="1"/>
  <c r="J31" i="2" s="1"/>
  <c r="D33" i="2"/>
  <c r="D40" i="2" s="1"/>
  <c r="D46" i="2"/>
  <c r="D58" i="2"/>
  <c r="E21" i="2"/>
  <c r="E28" i="2"/>
  <c r="E31" i="2"/>
  <c r="E33" i="2"/>
  <c r="E40" i="2"/>
  <c r="E46" i="2"/>
  <c r="E58" i="2"/>
  <c r="F21" i="2"/>
  <c r="F28" i="2"/>
  <c r="F31" i="2"/>
  <c r="F33" i="2"/>
  <c r="F40" i="2" s="1"/>
  <c r="I44" i="2"/>
  <c r="I45" i="2"/>
  <c r="J45" i="2" s="1"/>
  <c r="I46" i="2"/>
  <c r="J46" i="2" s="1"/>
  <c r="I48" i="2"/>
  <c r="I49" i="2"/>
  <c r="I50" i="2"/>
  <c r="I51" i="2"/>
  <c r="J51" i="2"/>
  <c r="I52" i="2"/>
  <c r="J52" i="2" s="1"/>
  <c r="I53" i="2"/>
  <c r="J53" i="2" s="1"/>
  <c r="I54" i="2"/>
  <c r="I55" i="2"/>
  <c r="J55" i="2"/>
  <c r="I56" i="2"/>
  <c r="I57" i="2"/>
  <c r="I16" i="2"/>
  <c r="J16" i="2" s="1"/>
  <c r="I17" i="2"/>
  <c r="I18" i="2"/>
  <c r="J18" i="2"/>
  <c r="I19" i="2"/>
  <c r="I20" i="2"/>
  <c r="J20" i="2" s="1"/>
  <c r="F46" i="2"/>
  <c r="G45" i="2"/>
  <c r="H45" i="2"/>
  <c r="J44" i="2"/>
  <c r="G44" i="2"/>
  <c r="H44" i="2" s="1"/>
  <c r="G112" i="2"/>
  <c r="H112" i="2"/>
  <c r="I112" i="2"/>
  <c r="J112" i="2"/>
  <c r="G113" i="2"/>
  <c r="H113" i="2" s="1"/>
  <c r="I113" i="2"/>
  <c r="J113" i="2" s="1"/>
  <c r="G114" i="2"/>
  <c r="H114" i="2"/>
  <c r="I114" i="2"/>
  <c r="J114" i="2"/>
  <c r="G115" i="2"/>
  <c r="H115" i="2" s="1"/>
  <c r="I115" i="2"/>
  <c r="J115" i="2" s="1"/>
  <c r="G116" i="2"/>
  <c r="H116" i="2"/>
  <c r="I116" i="2"/>
  <c r="J116" i="2"/>
  <c r="G103" i="2"/>
  <c r="H103" i="2" s="1"/>
  <c r="I103" i="2"/>
  <c r="J103" i="2" s="1"/>
  <c r="G104" i="2"/>
  <c r="H104" i="2"/>
  <c r="I104" i="2"/>
  <c r="I106" i="2" s="1"/>
  <c r="J106" i="2" s="1"/>
  <c r="J104" i="2"/>
  <c r="G105" i="2"/>
  <c r="H105" i="2" s="1"/>
  <c r="I105" i="2"/>
  <c r="J105" i="2" s="1"/>
  <c r="I102" i="2"/>
  <c r="J102" i="2"/>
  <c r="G102" i="2"/>
  <c r="G106" i="2" s="1"/>
  <c r="H106" i="2" s="1"/>
  <c r="H102" i="2"/>
  <c r="G95" i="2"/>
  <c r="H95" i="2" s="1"/>
  <c r="I95" i="2"/>
  <c r="J95" i="2" s="1"/>
  <c r="G96" i="2"/>
  <c r="H96" i="2"/>
  <c r="I96" i="2"/>
  <c r="J96" i="2"/>
  <c r="G97" i="2"/>
  <c r="H97" i="2" s="1"/>
  <c r="I97" i="2"/>
  <c r="J97" i="2" s="1"/>
  <c r="G98" i="2"/>
  <c r="H98" i="2"/>
  <c r="I98" i="2"/>
  <c r="J98" i="2"/>
  <c r="I94" i="2"/>
  <c r="J94" i="2" s="1"/>
  <c r="G94" i="2"/>
  <c r="H94" i="2" s="1"/>
  <c r="G83" i="2"/>
  <c r="H83" i="2"/>
  <c r="I83" i="2"/>
  <c r="J83" i="2"/>
  <c r="G84" i="2"/>
  <c r="H84" i="2" s="1"/>
  <c r="I84" i="2"/>
  <c r="J84" i="2" s="1"/>
  <c r="G85" i="2"/>
  <c r="H85" i="2"/>
  <c r="I85" i="2"/>
  <c r="J85" i="2"/>
  <c r="G86" i="2"/>
  <c r="H86" i="2" s="1"/>
  <c r="I86" i="2"/>
  <c r="J86" i="2" s="1"/>
  <c r="G87" i="2"/>
  <c r="H87" i="2"/>
  <c r="I87" i="2"/>
  <c r="J87" i="2"/>
  <c r="G88" i="2"/>
  <c r="H88" i="2" s="1"/>
  <c r="I88" i="2"/>
  <c r="J88" i="2" s="1"/>
  <c r="G89" i="2"/>
  <c r="H89" i="2"/>
  <c r="I89" i="2"/>
  <c r="J89" i="2"/>
  <c r="G90" i="2"/>
  <c r="H90" i="2" s="1"/>
  <c r="I90" i="2"/>
  <c r="J90" i="2" s="1"/>
  <c r="G91" i="2"/>
  <c r="H91" i="2"/>
  <c r="I91" i="2"/>
  <c r="J91" i="2"/>
  <c r="I82" i="2"/>
  <c r="J82" i="2" s="1"/>
  <c r="G82" i="2"/>
  <c r="F106" i="2"/>
  <c r="E106" i="2"/>
  <c r="D106" i="2"/>
  <c r="E99" i="2"/>
  <c r="F99" i="2"/>
  <c r="F107" i="2"/>
  <c r="J107" i="2" s="1"/>
  <c r="D99" i="2"/>
  <c r="D107" i="2" s="1"/>
  <c r="D92" i="2"/>
  <c r="F92" i="2"/>
  <c r="F100" i="2" s="1"/>
  <c r="E92" i="2"/>
  <c r="E100" i="2" s="1"/>
  <c r="I77" i="2"/>
  <c r="J77" i="2"/>
  <c r="G77" i="2"/>
  <c r="H77" i="2"/>
  <c r="I76" i="2"/>
  <c r="J76" i="2" s="1"/>
  <c r="G76" i="2"/>
  <c r="H76" i="2"/>
  <c r="I75" i="2"/>
  <c r="J75" i="2"/>
  <c r="G75" i="2"/>
  <c r="H75" i="2"/>
  <c r="I74" i="2"/>
  <c r="J74" i="2" s="1"/>
  <c r="G74" i="2"/>
  <c r="H74" i="2"/>
  <c r="E72" i="2"/>
  <c r="E111" i="2" s="1"/>
  <c r="E78" i="2"/>
  <c r="F72" i="2"/>
  <c r="F111" i="2" s="1"/>
  <c r="G67" i="2"/>
  <c r="H67" i="2"/>
  <c r="I67" i="2"/>
  <c r="J67" i="2"/>
  <c r="G68" i="2"/>
  <c r="H68" i="2" s="1"/>
  <c r="I68" i="2"/>
  <c r="G69" i="2"/>
  <c r="H69" i="2" s="1"/>
  <c r="I69" i="2"/>
  <c r="J69" i="2"/>
  <c r="G70" i="2"/>
  <c r="H70" i="2"/>
  <c r="I70" i="2"/>
  <c r="J70" i="2"/>
  <c r="G71" i="2"/>
  <c r="H71" i="2" s="1"/>
  <c r="I71" i="2"/>
  <c r="J71" i="2"/>
  <c r="D72" i="2"/>
  <c r="D111" i="2" s="1"/>
  <c r="D78" i="2"/>
  <c r="I66" i="2"/>
  <c r="J66" i="2"/>
  <c r="G66" i="2"/>
  <c r="H66" i="2" s="1"/>
  <c r="F58" i="2"/>
  <c r="D38" i="2"/>
  <c r="E38" i="2"/>
  <c r="G49" i="2"/>
  <c r="H49" i="2" s="1"/>
  <c r="J49" i="2"/>
  <c r="G50" i="2"/>
  <c r="H50" i="2" s="1"/>
  <c r="J50" i="2"/>
  <c r="G51" i="2"/>
  <c r="H51" i="2"/>
  <c r="G52" i="2"/>
  <c r="H52" i="2" s="1"/>
  <c r="G53" i="2"/>
  <c r="H53" i="2" s="1"/>
  <c r="G54" i="2"/>
  <c r="H54" i="2"/>
  <c r="J54" i="2"/>
  <c r="G55" i="2"/>
  <c r="H55" i="2"/>
  <c r="G56" i="2"/>
  <c r="H56" i="2" s="1"/>
  <c r="J56" i="2"/>
  <c r="G57" i="2"/>
  <c r="H57" i="2"/>
  <c r="J57" i="2"/>
  <c r="J48" i="2"/>
  <c r="G48" i="2"/>
  <c r="H48" i="2" s="1"/>
  <c r="G24" i="2"/>
  <c r="H24" i="2"/>
  <c r="I24" i="2"/>
  <c r="J24" i="2" s="1"/>
  <c r="G25" i="2"/>
  <c r="H25" i="2" s="1"/>
  <c r="I25" i="2"/>
  <c r="J25" i="2" s="1"/>
  <c r="G26" i="2"/>
  <c r="H26" i="2"/>
  <c r="I26" i="2"/>
  <c r="J26" i="2" s="1"/>
  <c r="G27" i="2"/>
  <c r="H27" i="2" s="1"/>
  <c r="I27" i="2"/>
  <c r="J27" i="2" s="1"/>
  <c r="I23" i="2"/>
  <c r="J23" i="2"/>
  <c r="G23" i="2"/>
  <c r="H23" i="2"/>
  <c r="J17" i="2"/>
  <c r="J19" i="2"/>
  <c r="G17" i="2"/>
  <c r="H17" i="2" s="1"/>
  <c r="G18" i="2"/>
  <c r="H18" i="2"/>
  <c r="G19" i="2"/>
  <c r="H19" i="2"/>
  <c r="G20" i="2"/>
  <c r="H20" i="2" s="1"/>
  <c r="G16" i="2"/>
  <c r="H16" i="2" s="1"/>
  <c r="A38" i="2"/>
  <c r="A39" i="2"/>
  <c r="A40" i="2"/>
  <c r="A41" i="2"/>
  <c r="A37" i="2"/>
  <c r="A31" i="2"/>
  <c r="A32" i="2"/>
  <c r="A33" i="2"/>
  <c r="A34" i="2"/>
  <c r="A30" i="2"/>
  <c r="A24" i="2"/>
  <c r="A25" i="2"/>
  <c r="A26" i="2"/>
  <c r="A27" i="2"/>
  <c r="A23" i="2"/>
  <c r="H82" i="2"/>
  <c r="E107" i="2"/>
  <c r="D100" i="2"/>
  <c r="I72" i="2"/>
  <c r="I79" i="2" s="1"/>
  <c r="J79" i="2" s="1"/>
  <c r="J72" i="2"/>
  <c r="G31" i="2"/>
  <c r="H31" i="2" s="1"/>
  <c r="F38" i="2"/>
  <c r="J68" i="2"/>
  <c r="I78" i="2"/>
  <c r="J78" i="2" s="1"/>
  <c r="F78" i="2"/>
  <c r="F79" i="2" s="1"/>
  <c r="I33" i="2"/>
  <c r="J33" i="2" s="1"/>
  <c r="G28" i="2" l="1"/>
  <c r="H28" i="2" s="1"/>
  <c r="I21" i="2"/>
  <c r="J21" i="2" s="1"/>
  <c r="E30" i="2"/>
  <c r="E37" i="2" s="1"/>
  <c r="D30" i="2"/>
  <c r="D32" i="2" s="1"/>
  <c r="D34" i="2" s="1"/>
  <c r="D35" i="2" s="1"/>
  <c r="F30" i="2"/>
  <c r="G33" i="2"/>
  <c r="H33" i="2" s="1"/>
  <c r="G21" i="2"/>
  <c r="H21" i="2" s="1"/>
  <c r="G111" i="2"/>
  <c r="H111" i="2" s="1"/>
  <c r="I111" i="2"/>
  <c r="J111" i="2" s="1"/>
  <c r="I99" i="2"/>
  <c r="J99" i="2" s="1"/>
  <c r="G92" i="2"/>
  <c r="G58" i="2"/>
  <c r="H58" i="2" s="1"/>
  <c r="D79" i="2"/>
  <c r="G99" i="2"/>
  <c r="I58" i="2"/>
  <c r="J58" i="2" s="1"/>
  <c r="I28" i="2"/>
  <c r="J28" i="2" s="1"/>
  <c r="G72" i="2"/>
  <c r="G46" i="2"/>
  <c r="H46" i="2" s="1"/>
  <c r="I92" i="2"/>
  <c r="E79" i="2"/>
  <c r="D39" i="2" l="1"/>
  <c r="I30" i="2"/>
  <c r="J30" i="2" s="1"/>
  <c r="G30" i="2"/>
  <c r="H30" i="2" s="1"/>
  <c r="F32" i="2"/>
  <c r="F39" i="2" s="1"/>
  <c r="D37" i="2"/>
  <c r="F37" i="2"/>
  <c r="E32" i="2"/>
  <c r="G32" i="2" s="1"/>
  <c r="H32" i="2" s="1"/>
  <c r="D42" i="2"/>
  <c r="D59" i="2"/>
  <c r="D60" i="2" s="1"/>
  <c r="G100" i="2"/>
  <c r="H100" i="2" s="1"/>
  <c r="H92" i="2"/>
  <c r="H72" i="2"/>
  <c r="G78" i="2"/>
  <c r="H78" i="2" s="1"/>
  <c r="G79" i="2"/>
  <c r="H79" i="2" s="1"/>
  <c r="J92" i="2"/>
  <c r="I100" i="2"/>
  <c r="J100" i="2" s="1"/>
  <c r="H99" i="2"/>
  <c r="G107" i="2"/>
  <c r="H107" i="2" s="1"/>
  <c r="D41" i="2"/>
  <c r="E39" i="2" l="1"/>
  <c r="E34" i="2"/>
  <c r="E41" i="2" s="1"/>
  <c r="F34" i="2"/>
  <c r="I34" i="2" s="1"/>
  <c r="J34" i="2" s="1"/>
  <c r="I32" i="2"/>
  <c r="J32" i="2" s="1"/>
  <c r="G34" i="2" l="1"/>
  <c r="H34" i="2" s="1"/>
  <c r="E35" i="2"/>
  <c r="E59" i="2" s="1"/>
  <c r="E60" i="2" s="1"/>
  <c r="G60" i="2" s="1"/>
  <c r="F41" i="2"/>
  <c r="F35" i="2"/>
  <c r="I35" i="2" s="1"/>
  <c r="E42" i="2" l="1"/>
  <c r="G35" i="2"/>
  <c r="G59" i="2" s="1"/>
  <c r="H59" i="2" s="1"/>
  <c r="F59" i="2"/>
  <c r="F60" i="2" s="1"/>
  <c r="F42" i="2"/>
  <c r="J35" i="2"/>
  <c r="I59" i="2"/>
  <c r="H35" i="2" l="1"/>
  <c r="J59" i="2"/>
  <c r="I60" i="2"/>
</calcChain>
</file>

<file path=xl/sharedStrings.xml><?xml version="1.0" encoding="utf-8"?>
<sst xmlns="http://schemas.openxmlformats.org/spreadsheetml/2006/main" count="215" uniqueCount="137">
  <si>
    <t>Entity</t>
  </si>
  <si>
    <t>Period ended</t>
  </si>
  <si>
    <t>Notes for designer - this column (V) should be hidden and is used to set the height for the rows.  Do not adjust the column height manually.</t>
  </si>
  <si>
    <t>Performance materiality</t>
  </si>
  <si>
    <r>
      <t xml:space="preserve">Objective:    </t>
    </r>
    <r>
      <rPr>
        <sz val="8"/>
        <color indexed="8"/>
        <rFont val="Arial"/>
        <family val="2"/>
      </rPr>
      <t xml:space="preserve"> </t>
    </r>
  </si>
  <si>
    <t xml:space="preserve">
</t>
  </si>
  <si>
    <t>PART A</t>
  </si>
  <si>
    <t xml:space="preserve">
</t>
  </si>
  <si>
    <t>Procedure</t>
  </si>
  <si>
    <t>W/P ref.</t>
  </si>
  <si>
    <t>PSC?
(Y/N)
(Initials)</t>
  </si>
  <si>
    <t>1. Obtain a copy of the most recent financial results/trial balance and relevant information (financial and non-financial) available from the entity.</t>
  </si>
  <si>
    <t>2. Ensure that the information obtained is reliable and adequate for the purposes of performing analytical procedures.</t>
  </si>
  <si>
    <t xml:space="preserve">
</t>
  </si>
  <si>
    <t>b. Fraud.</t>
  </si>
  <si>
    <t>Go to Part B</t>
  </si>
  <si>
    <t>Go to Part C</t>
  </si>
  <si>
    <t>Note for designer - columns have been protected and autosums are on</t>
  </si>
  <si>
    <t>PART B</t>
  </si>
  <si>
    <t>Compare the most recent financial results to:</t>
  </si>
  <si>
    <t>current period budget/forecast?</t>
  </si>
  <si>
    <t>yes</t>
  </si>
  <si>
    <t>Number of sales streams (enter 1 to 5)</t>
  </si>
  <si>
    <t>Note: This form should be customized so that the financial statement areas identified are consistent with the financial statements to be audited.</t>
  </si>
  <si>
    <r>
      <rPr>
        <b/>
        <sz val="8"/>
        <color indexed="9"/>
        <rFont val="Arial"/>
        <family val="2"/>
      </rPr>
      <t>Current period's financial results</t>
    </r>
  </si>
  <si>
    <t>Current period's budget or forecast</t>
  </si>
  <si>
    <r>
      <rPr>
        <b/>
        <sz val="8"/>
        <color indexed="9"/>
        <rFont val="Arial"/>
        <family val="2"/>
      </rPr>
      <t>Prior period's financial results</t>
    </r>
  </si>
  <si>
    <t>Change from budget/forecast</t>
  </si>
  <si>
    <t>Change from prior period</t>
  </si>
  <si>
    <t>Any matter(s) requiring follow-up?
(Yes/No)</t>
  </si>
  <si>
    <t>If yes, explain nature/significance of matter(s) identified (e.g., unusual trend identified in costing of product or sales per sq. ft. is used as a key performance indicator)</t>
  </si>
  <si>
    <t>$</t>
  </si>
  <si>
    <t>%</t>
  </si>
  <si>
    <t>Sales</t>
  </si>
  <si>
    <t>2.</t>
  </si>
  <si>
    <t>3.</t>
  </si>
  <si>
    <t>4.</t>
  </si>
  <si>
    <t>5.</t>
  </si>
  <si>
    <t>Total sales</t>
  </si>
  <si>
    <t>Cost of sales</t>
  </si>
  <si>
    <t>Total cost of sales</t>
  </si>
  <si>
    <t>Gross margin $</t>
  </si>
  <si>
    <t>Total gross margin $</t>
  </si>
  <si>
    <t>Gross margin %</t>
  </si>
  <si>
    <t>Total gross margin %</t>
  </si>
  <si>
    <t>Other revenue</t>
  </si>
  <si>
    <t>Total other revenue</t>
  </si>
  <si>
    <t>Expenses</t>
  </si>
  <si>
    <t>Salaries/payroll</t>
  </si>
  <si>
    <t>Occupancy</t>
  </si>
  <si>
    <t>Interest/bank charges</t>
  </si>
  <si>
    <t xml:space="preserve">Bonuses </t>
  </si>
  <si>
    <t>Repairs and maintenance</t>
  </si>
  <si>
    <t xml:space="preserve">Bad debts </t>
  </si>
  <si>
    <t>Non-recurring transactions</t>
  </si>
  <si>
    <t>Other expenses</t>
  </si>
  <si>
    <t>Total Expenses</t>
  </si>
  <si>
    <t xml:space="preserve">Net income before tax </t>
  </si>
  <si>
    <t xml:space="preserve">     % of revenue</t>
  </si>
  <si>
    <t>Balance sheet</t>
  </si>
  <si>
    <t>Assets</t>
  </si>
  <si>
    <t>Cash</t>
  </si>
  <si>
    <t>Investments</t>
  </si>
  <si>
    <t>Accounts receivable</t>
  </si>
  <si>
    <t>Inventory</t>
  </si>
  <si>
    <t>Other assets</t>
  </si>
  <si>
    <t>Property, plant and equipment</t>
  </si>
  <si>
    <t>Liabilities</t>
  </si>
  <si>
    <t>Bank indebtedness</t>
  </si>
  <si>
    <t>Accounts payable and accrued liabilities</t>
  </si>
  <si>
    <t>Income taxes payable</t>
  </si>
  <si>
    <t>Future income taxes payable</t>
  </si>
  <si>
    <t>Deferred revenue</t>
  </si>
  <si>
    <t>Customer deposits</t>
  </si>
  <si>
    <t>Short-term debt</t>
  </si>
  <si>
    <t>Current portion of long-term debt</t>
  </si>
  <si>
    <t>Other current liabilities</t>
  </si>
  <si>
    <t>Loans payable</t>
  </si>
  <si>
    <t>Long-term debt</t>
  </si>
  <si>
    <t>Other long-term liabilities</t>
  </si>
  <si>
    <t>Equity</t>
  </si>
  <si>
    <t>Retained earnings</t>
  </si>
  <si>
    <t>Contributed surplus</t>
  </si>
  <si>
    <t>Share capital</t>
  </si>
  <si>
    <t>Other equity</t>
  </si>
  <si>
    <t>Total equity</t>
  </si>
  <si>
    <t>Total liabilities and equity</t>
  </si>
  <si>
    <t>Ratios</t>
  </si>
  <si>
    <t>Working capital</t>
  </si>
  <si>
    <t>Number of days in receivables</t>
  </si>
  <si>
    <t>Number of days' sales in inventory</t>
  </si>
  <si>
    <t>Inventory turnover</t>
  </si>
  <si>
    <t>Number of days' purchases in trade payables</t>
  </si>
  <si>
    <t>Debt-to-equity ratio</t>
  </si>
  <si>
    <t>Go to Part A</t>
  </si>
  <si>
    <t>PART C</t>
  </si>
  <si>
    <t>Part A 
ref. #</t>
  </si>
  <si>
    <t>Summary of matter(s) 
identified in Part B</t>
  </si>
  <si>
    <t>Management's responses</t>
  </si>
  <si>
    <t>Have any unusual/unexpected relationships been identified that may indicate risks of material misstatement due to fraud? If so, describe below:</t>
  </si>
  <si>
    <t xml:space="preserve">
</t>
  </si>
  <si>
    <t>Prepared by</t>
  </si>
  <si>
    <t xml:space="preserve">  Date</t>
  </si>
  <si>
    <t>Reviewed by</t>
  </si>
  <si>
    <t xml:space="preserve">  Date </t>
  </si>
  <si>
    <t xml:space="preserve">       </t>
  </si>
  <si>
    <t>**note: only highlighted items to be translated</t>
  </si>
  <si>
    <t>Yes/no</t>
  </si>
  <si>
    <t>rev_streams</t>
  </si>
  <si>
    <t>no</t>
  </si>
  <si>
    <t>Summarize exceptions or findings</t>
  </si>
  <si>
    <t>4. Inquire of management about the reasons for any:</t>
  </si>
  <si>
    <t>Audit implications and possible responses
(document and assess risks identified on Form 520)</t>
  </si>
  <si>
    <t xml:space="preserve">To identify relationships (for possible use in substantive analytical procedures), risks, inconsistencies, unusual transactions, events, amounts, ratios or trends that will likely require an audit response. </t>
  </si>
  <si>
    <t>3. Review the information obtained, and identify any:</t>
  </si>
  <si>
    <t>a. Inconsistencies with our understanding of the entity.</t>
  </si>
  <si>
    <t>c. Potential fraud.</t>
  </si>
  <si>
    <t>b. Unusual transactions/events or other material 
    misstatements.</t>
  </si>
  <si>
    <t>b. Negative trends, or other unusual relationships,
    including those related to revenue accounts.</t>
  </si>
  <si>
    <t>a. Inconsistencies, fluctuations and unexpected
    relationships.</t>
  </si>
  <si>
    <t>5. Assess whether the explanations from management
    indicate the possible existence of the following:</t>
  </si>
  <si>
    <t>a. Unusual transactions/events or other material
    misstatements that require a specific audit
    response.</t>
  </si>
  <si>
    <t>Income statement</t>
  </si>
  <si>
    <t>Current assets</t>
  </si>
  <si>
    <t>Total current assets</t>
  </si>
  <si>
    <t>Long-term assets</t>
  </si>
  <si>
    <t>Total long-term assets</t>
  </si>
  <si>
    <t>Total assets</t>
  </si>
  <si>
    <t>Current liabilities</t>
  </si>
  <si>
    <t>Total current liabilities</t>
  </si>
  <si>
    <t>Long-term liabilities</t>
  </si>
  <si>
    <t>Total long-term liabilities</t>
  </si>
  <si>
    <r>
      <rPr>
        <b/>
        <sz val="8"/>
        <rFont val="Arial"/>
        <family val="2"/>
      </rPr>
      <t xml:space="preserve">Notes: </t>
    </r>
    <r>
      <rPr>
        <sz val="8"/>
        <rFont val="Arial"/>
        <family val="2"/>
      </rPr>
      <t xml:space="preserve">1. Use this form to perform analytical procedures as noted on Form 510.  
            2. Use Parts A and B to identify matters requiring additional information/audit work. 
            3. Use Part C to document preliminary discussions with management and any additional work required.  
            4. Customize this form to reflect the entity and the industry in which it operates.
            5. Do NOT use this form to perform substantive analytical procedures in response to risks identified; instead, use Form 614.
            6. Discussions with management do not solely constitute sufficient appropriate audit evidence. </t>
    </r>
  </si>
  <si>
    <t>prior period</t>
  </si>
  <si>
    <t>Audit response 
(Part C # and/or Form 520)</t>
  </si>
  <si>
    <t>1. Product category</t>
  </si>
  <si>
    <t>Total liabilities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</si>
</sst>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0" x14ac:knownFonts="1">
    <font>
      <sz val="11"/>
      <color theme="1"/>
      <name val="Calibri"/>
      <family val="2"/>
      <scheme val="minor"/>
    </font>
    <font>
      <sz val="11"/>
      <color indexed="8"/>
      <name val="Calibri"/>
      <family val="2"/>
    </font>
    <font>
      <sz val="11"/>
      <color indexed="8"/>
      <name val="Arial"/>
      <family val="2"/>
    </font>
    <font>
      <sz val="9"/>
      <color indexed="8"/>
      <name val="Arial"/>
      <family val="2"/>
    </font>
    <font>
      <sz val="8.5"/>
      <color indexed="8"/>
      <name val="Arial"/>
      <family val="2"/>
    </font>
    <font>
      <b/>
      <sz val="8"/>
      <color indexed="8"/>
      <name val="Arial"/>
      <family val="2"/>
    </font>
    <font>
      <sz val="8"/>
      <color indexed="8"/>
      <name val="Arial"/>
      <family val="2"/>
    </font>
    <font>
      <b/>
      <sz val="8"/>
      <color indexed="9"/>
      <name val="Arial"/>
      <family val="2"/>
    </font>
    <font>
      <i/>
      <sz val="8"/>
      <color indexed="8"/>
      <name val="Arial"/>
      <family val="2"/>
    </font>
    <font>
      <sz val="8"/>
      <color theme="1"/>
      <name val="Arial"/>
      <family val="2"/>
    </font>
    <font>
      <b/>
      <sz val="8"/>
      <color theme="0"/>
      <name val="Arial"/>
      <family val="2"/>
    </font>
    <font>
      <sz val="8"/>
      <color theme="1"/>
      <name val="Calibri"/>
      <family val="2"/>
      <scheme val="minor"/>
    </font>
    <font>
      <sz val="8"/>
      <color theme="1"/>
      <name val="Calibri"/>
      <family val="2"/>
    </font>
    <font>
      <u/>
      <sz val="11"/>
      <color theme="10"/>
      <name val="Calibri"/>
      <family val="2"/>
      <scheme val="minor"/>
    </font>
    <font>
      <b/>
      <sz val="8"/>
      <name val="Arial"/>
      <family val="2"/>
    </font>
    <font>
      <sz val="9"/>
      <name val="Arial"/>
      <family val="2"/>
    </font>
    <font>
      <sz val="8"/>
      <name val="Arial"/>
      <family val="2"/>
    </font>
    <font>
      <sz val="8"/>
      <color rgb="FF000000"/>
      <name val="Arial"/>
      <family val="2"/>
    </font>
    <font>
      <sz val="9"/>
      <color rgb="FF0070C0"/>
      <name val="Arial"/>
      <family val="2"/>
    </font>
    <font>
      <i/>
      <sz val="8"/>
      <name val="Arial"/>
      <family val="2"/>
    </font>
  </fonts>
  <fills count="7">
    <fill>
      <patternFill patternType="none"/>
    </fill>
    <fill>
      <patternFill patternType="gray125"/>
    </fill>
    <fill>
      <patternFill patternType="lightUp"/>
    </fill>
    <fill>
      <patternFill patternType="solid">
        <fgColor theme="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43" fontId="1" fillId="0" borderId="0" applyFont="0" applyFill="0" applyBorder="0" applyAlignment="0" applyProtection="0"/>
    <xf numFmtId="0" fontId="13" fillId="0" borderId="0" applyNumberFormat="0" applyFill="0" applyBorder="0" applyAlignment="0" applyProtection="0"/>
    <xf numFmtId="9" fontId="1" fillId="0" borderId="0" applyFont="0" applyFill="0" applyBorder="0" applyAlignment="0" applyProtection="0"/>
  </cellStyleXfs>
  <cellXfs count="157">
    <xf numFmtId="0" fontId="0" fillId="0" borderId="0" xfId="0"/>
    <xf numFmtId="0" fontId="2" fillId="0" borderId="0" xfId="0" applyFont="1"/>
    <xf numFmtId="0" fontId="3" fillId="0" borderId="0" xfId="0" applyFont="1"/>
    <xf numFmtId="0" fontId="4" fillId="0" borderId="0" xfId="0" applyFont="1" applyAlignment="1">
      <alignment wrapText="1"/>
    </xf>
    <xf numFmtId="0" fontId="6" fillId="0" borderId="0" xfId="0" applyFont="1"/>
    <xf numFmtId="0" fontId="6" fillId="0" borderId="0" xfId="0" applyFont="1" applyAlignment="1">
      <alignment horizontal="center"/>
    </xf>
    <xf numFmtId="0" fontId="6" fillId="0" borderId="0" xfId="0" applyFont="1" applyAlignment="1">
      <alignment horizontal="left" indent="1"/>
    </xf>
    <xf numFmtId="0" fontId="7" fillId="3" borderId="1" xfId="0" applyFont="1" applyFill="1" applyBorder="1" applyAlignment="1">
      <alignment horizontal="left" wrapText="1"/>
    </xf>
    <xf numFmtId="0" fontId="9" fillId="0" borderId="0" xfId="0" applyFont="1" applyAlignment="1">
      <alignment horizontal="left" indent="1"/>
    </xf>
    <xf numFmtId="4" fontId="9" fillId="0" borderId="2" xfId="1" applyNumberFormat="1" applyFont="1" applyBorder="1" applyAlignment="1">
      <alignment horizontal="right" vertical="center" wrapText="1"/>
    </xf>
    <xf numFmtId="0" fontId="9" fillId="0" borderId="1" xfId="0" applyFont="1" applyBorder="1" applyAlignment="1">
      <alignment horizontal="left" vertical="center" wrapText="1"/>
    </xf>
    <xf numFmtId="0" fontId="9" fillId="0" borderId="3" xfId="0" applyFont="1" applyBorder="1" applyAlignment="1">
      <alignment horizontal="left" wrapText="1"/>
    </xf>
    <xf numFmtId="0" fontId="9" fillId="0" borderId="4" xfId="0" applyFont="1" applyBorder="1" applyAlignment="1">
      <alignment horizontal="left" vertical="center" wrapText="1"/>
    </xf>
    <xf numFmtId="0" fontId="10" fillId="3" borderId="3" xfId="0" applyFont="1" applyFill="1" applyBorder="1" applyAlignment="1">
      <alignment wrapText="1"/>
    </xf>
    <xf numFmtId="0" fontId="3" fillId="4" borderId="0" xfId="0" applyFont="1" applyFill="1"/>
    <xf numFmtId="0" fontId="2" fillId="4" borderId="0" xfId="0" applyFont="1" applyFill="1"/>
    <xf numFmtId="0" fontId="5" fillId="0" borderId="0" xfId="0" applyFont="1" applyAlignment="1">
      <alignment wrapText="1"/>
    </xf>
    <xf numFmtId="0" fontId="9" fillId="0" borderId="3" xfId="0" applyFont="1" applyBorder="1" applyAlignment="1">
      <alignment wrapText="1"/>
    </xf>
    <xf numFmtId="2" fontId="9" fillId="0" borderId="3" xfId="0" applyNumberFormat="1" applyFont="1" applyBorder="1" applyAlignment="1">
      <alignment wrapText="1"/>
    </xf>
    <xf numFmtId="2" fontId="9" fillId="0" borderId="0" xfId="0" applyNumberFormat="1" applyFont="1" applyAlignment="1">
      <alignment wrapText="1"/>
    </xf>
    <xf numFmtId="0" fontId="3" fillId="4" borderId="0" xfId="0" applyFont="1" applyFill="1" applyAlignment="1">
      <alignment vertical="top" wrapText="1"/>
    </xf>
    <xf numFmtId="0" fontId="3" fillId="4" borderId="0" xfId="0" applyFont="1" applyFill="1" applyAlignment="1">
      <alignment vertical="top"/>
    </xf>
    <xf numFmtId="0" fontId="10" fillId="3" borderId="3" xfId="0" applyFont="1" applyFill="1" applyBorder="1" applyAlignment="1">
      <alignment horizontal="center" wrapText="1"/>
    </xf>
    <xf numFmtId="0" fontId="0" fillId="4" borderId="0" xfId="0" applyFill="1"/>
    <xf numFmtId="0" fontId="10" fillId="3" borderId="7" xfId="0" applyFont="1" applyFill="1" applyBorder="1" applyAlignment="1">
      <alignment horizontal="center" wrapText="1"/>
    </xf>
    <xf numFmtId="0" fontId="10" fillId="3" borderId="6" xfId="0" applyFont="1" applyFill="1" applyBorder="1" applyAlignment="1">
      <alignment horizontal="center" wrapText="1"/>
    </xf>
    <xf numFmtId="2" fontId="9" fillId="0" borderId="2" xfId="1" applyNumberFormat="1" applyFont="1" applyBorder="1" applyAlignment="1">
      <alignment vertical="center" wrapText="1"/>
    </xf>
    <xf numFmtId="2" fontId="9" fillId="0" borderId="1" xfId="1" applyNumberFormat="1" applyFont="1" applyBorder="1" applyAlignment="1">
      <alignment vertical="center" wrapText="1"/>
    </xf>
    <xf numFmtId="4" fontId="9" fillId="0" borderId="1" xfId="1" applyNumberFormat="1" applyFont="1" applyBorder="1" applyAlignment="1">
      <alignment vertical="center" wrapText="1"/>
    </xf>
    <xf numFmtId="0" fontId="5" fillId="0" borderId="3" xfId="0" applyFont="1" applyBorder="1" applyAlignment="1">
      <alignment wrapText="1"/>
    </xf>
    <xf numFmtId="49" fontId="9" fillId="0" borderId="0" xfId="0" applyNumberFormat="1" applyFont="1" applyAlignment="1">
      <alignment horizontal="left"/>
    </xf>
    <xf numFmtId="49" fontId="9" fillId="0" borderId="0" xfId="0" applyNumberFormat="1" applyFont="1"/>
    <xf numFmtId="49" fontId="6" fillId="0" borderId="0" xfId="0" applyNumberFormat="1" applyFont="1"/>
    <xf numFmtId="49" fontId="0" fillId="0" borderId="0" xfId="0" applyNumberFormat="1"/>
    <xf numFmtId="49" fontId="5" fillId="0" borderId="0" xfId="0" applyNumberFormat="1" applyFont="1" applyAlignment="1">
      <alignment wrapText="1"/>
    </xf>
    <xf numFmtId="49" fontId="2" fillId="3" borderId="0" xfId="0" applyNumberFormat="1" applyFont="1" applyFill="1"/>
    <xf numFmtId="4" fontId="9" fillId="0" borderId="2" xfId="1" applyNumberFormat="1" applyFont="1" applyBorder="1" applyAlignment="1">
      <alignment vertical="center" wrapText="1"/>
    </xf>
    <xf numFmtId="2" fontId="9" fillId="5" borderId="1" xfId="1" applyNumberFormat="1" applyFont="1" applyFill="1" applyBorder="1" applyAlignment="1" applyProtection="1">
      <alignment vertical="center" wrapText="1"/>
      <protection locked="0"/>
    </xf>
    <xf numFmtId="2" fontId="9" fillId="0" borderId="1" xfId="1" applyNumberFormat="1" applyFont="1" applyBorder="1" applyAlignment="1" applyProtection="1">
      <alignment vertical="center" wrapText="1"/>
      <protection locked="0"/>
    </xf>
    <xf numFmtId="0" fontId="9" fillId="0" borderId="0" xfId="0" applyFont="1" applyAlignment="1">
      <alignment wrapText="1"/>
    </xf>
    <xf numFmtId="0" fontId="2" fillId="4" borderId="0" xfId="0" applyFont="1" applyFill="1" applyAlignment="1">
      <alignment wrapText="1"/>
    </xf>
    <xf numFmtId="2" fontId="9" fillId="5" borderId="1" xfId="1" applyNumberFormat="1" applyFont="1" applyFill="1" applyBorder="1" applyAlignment="1" applyProtection="1">
      <alignment horizontal="center" vertical="center" wrapText="1"/>
      <protection locked="0"/>
    </xf>
    <xf numFmtId="2" fontId="9" fillId="2" borderId="1" xfId="1" applyNumberFormat="1" applyFont="1" applyFill="1" applyBorder="1" applyAlignment="1">
      <alignment vertical="center" wrapText="1"/>
    </xf>
    <xf numFmtId="4" fontId="9" fillId="2" borderId="1" xfId="1" applyNumberFormat="1" applyFont="1" applyFill="1" applyBorder="1" applyAlignment="1">
      <alignment vertical="center" wrapText="1"/>
    </xf>
    <xf numFmtId="0" fontId="2" fillId="0" borderId="9" xfId="0" applyFont="1" applyBorder="1"/>
    <xf numFmtId="0" fontId="2" fillId="4" borderId="0" xfId="0" applyFont="1" applyFill="1" applyAlignment="1">
      <alignment horizontal="left" wrapText="1"/>
    </xf>
    <xf numFmtId="0" fontId="9" fillId="5" borderId="1" xfId="0" applyFont="1" applyFill="1" applyBorder="1" applyAlignment="1" applyProtection="1">
      <alignment horizontal="left" vertical="center" wrapText="1"/>
      <protection locked="0"/>
    </xf>
    <xf numFmtId="0" fontId="9" fillId="5" borderId="1" xfId="0" applyFont="1" applyFill="1" applyBorder="1" applyAlignment="1" applyProtection="1">
      <alignment vertical="center" wrapText="1"/>
      <protection locked="0"/>
    </xf>
    <xf numFmtId="10" fontId="9" fillId="0" borderId="1" xfId="3" applyNumberFormat="1" applyFont="1" applyBorder="1" applyAlignment="1">
      <alignment vertical="center" wrapText="1"/>
    </xf>
    <xf numFmtId="0" fontId="3" fillId="6" borderId="0" xfId="0" applyFont="1" applyFill="1"/>
    <xf numFmtId="0" fontId="3" fillId="4" borderId="0" xfId="0" applyFont="1" applyFill="1" applyAlignment="1">
      <alignment wrapText="1"/>
    </xf>
    <xf numFmtId="1" fontId="9" fillId="5" borderId="1" xfId="1" applyNumberFormat="1" applyFont="1" applyFill="1" applyBorder="1" applyAlignment="1" applyProtection="1">
      <alignment horizontal="center" vertical="center" wrapText="1"/>
      <protection locked="0"/>
    </xf>
    <xf numFmtId="0" fontId="3" fillId="0" borderId="3" xfId="0" applyFont="1" applyBorder="1" applyProtection="1">
      <protection locked="0"/>
    </xf>
    <xf numFmtId="0" fontId="15" fillId="4" borderId="0" xfId="0" applyFont="1" applyFill="1"/>
    <xf numFmtId="4" fontId="9" fillId="0" borderId="1" xfId="1" applyNumberFormat="1" applyFont="1" applyBorder="1" applyAlignment="1" applyProtection="1">
      <alignment horizontal="right" vertical="center" wrapText="1"/>
      <protection locked="0"/>
    </xf>
    <xf numFmtId="0" fontId="17" fillId="0" borderId="0" xfId="0" applyFont="1"/>
    <xf numFmtId="0" fontId="2" fillId="0" borderId="3" xfId="0" applyFont="1" applyBorder="1"/>
    <xf numFmtId="0" fontId="2" fillId="0" borderId="0" xfId="0" applyFont="1" applyBorder="1"/>
    <xf numFmtId="0" fontId="9" fillId="0" borderId="12" xfId="0" applyFont="1" applyBorder="1" applyAlignment="1">
      <alignment horizontal="left" vertical="center" wrapText="1"/>
    </xf>
    <xf numFmtId="0" fontId="9" fillId="0" borderId="8" xfId="0" applyFont="1" applyBorder="1" applyAlignment="1">
      <alignment horizontal="left" vertical="center" wrapText="1"/>
    </xf>
    <xf numFmtId="49" fontId="9" fillId="0" borderId="11" xfId="0" applyNumberFormat="1" applyFont="1" applyBorder="1" applyAlignment="1">
      <alignment vertical="center" wrapText="1"/>
    </xf>
    <xf numFmtId="49" fontId="9" fillId="0" borderId="10" xfId="0" applyNumberFormat="1" applyFont="1" applyBorder="1" applyAlignment="1">
      <alignment vertical="center" wrapText="1"/>
    </xf>
    <xf numFmtId="49" fontId="9" fillId="0" borderId="1" xfId="0" applyNumberFormat="1" applyFont="1" applyBorder="1" applyAlignment="1">
      <alignment vertical="center" wrapText="1"/>
    </xf>
    <xf numFmtId="49" fontId="9" fillId="0" borderId="13" xfId="0" applyNumberFormat="1" applyFont="1" applyBorder="1" applyAlignment="1">
      <alignment vertical="center" wrapText="1"/>
    </xf>
    <xf numFmtId="49" fontId="9" fillId="0" borderId="15" xfId="0" applyNumberFormat="1" applyFont="1" applyBorder="1" applyAlignment="1">
      <alignment vertical="center" wrapText="1"/>
    </xf>
    <xf numFmtId="49" fontId="9" fillId="0" borderId="14" xfId="0" applyNumberFormat="1" applyFont="1" applyBorder="1" applyAlignment="1">
      <alignment vertical="center" wrapText="1"/>
    </xf>
    <xf numFmtId="0" fontId="3" fillId="0" borderId="0" xfId="0" applyFont="1" applyAlignment="1">
      <alignment wrapText="1"/>
    </xf>
    <xf numFmtId="0" fontId="9" fillId="0" borderId="0" xfId="0" applyFont="1" applyAlignment="1">
      <alignment horizontal="left"/>
    </xf>
    <xf numFmtId="0" fontId="8" fillId="0" borderId="0" xfId="0" applyFont="1" applyAlignment="1">
      <alignment horizontal="left" wrapText="1"/>
    </xf>
    <xf numFmtId="0" fontId="5" fillId="0" borderId="0" xfId="0" applyFont="1" applyAlignment="1">
      <alignment horizontal="left" wrapText="1"/>
    </xf>
    <xf numFmtId="0" fontId="10" fillId="3" borderId="10" xfId="0" applyFont="1" applyFill="1" applyBorder="1" applyAlignment="1">
      <alignment horizontal="left" wrapText="1"/>
    </xf>
    <xf numFmtId="49" fontId="5" fillId="0" borderId="0" xfId="0" applyNumberFormat="1" applyFont="1" applyAlignment="1">
      <alignment vertical="center" wrapText="1"/>
    </xf>
    <xf numFmtId="0" fontId="12" fillId="5" borderId="4" xfId="0" applyFont="1" applyFill="1" applyBorder="1" applyAlignment="1" applyProtection="1">
      <alignment horizontal="left" vertical="center" wrapText="1"/>
      <protection locked="0"/>
    </xf>
    <xf numFmtId="49" fontId="16" fillId="0" borderId="10" xfId="0" applyNumberFormat="1" applyFont="1" applyBorder="1" applyAlignment="1">
      <alignment vertical="center" wrapText="1"/>
    </xf>
    <xf numFmtId="49" fontId="16" fillId="0" borderId="13" xfId="0" applyNumberFormat="1" applyFont="1" applyBorder="1" applyAlignment="1">
      <alignment vertical="center" wrapText="1"/>
    </xf>
    <xf numFmtId="0" fontId="16" fillId="0" borderId="12" xfId="0" applyFont="1" applyBorder="1" applyAlignment="1">
      <alignment horizontal="left" vertical="center" wrapText="1"/>
    </xf>
    <xf numFmtId="49" fontId="16" fillId="0" borderId="11" xfId="0" applyNumberFormat="1" applyFont="1" applyBorder="1" applyAlignment="1">
      <alignment vertical="center" wrapText="1"/>
    </xf>
    <xf numFmtId="49" fontId="16" fillId="0" borderId="15" xfId="0" applyNumberFormat="1" applyFont="1" applyBorder="1" applyAlignment="1">
      <alignment vertical="center" wrapText="1"/>
    </xf>
    <xf numFmtId="0" fontId="16" fillId="0" borderId="8" xfId="0" applyFont="1" applyBorder="1" applyAlignment="1">
      <alignment horizontal="left" vertical="center" wrapText="1"/>
    </xf>
    <xf numFmtId="49" fontId="16" fillId="0" borderId="6" xfId="0" applyNumberFormat="1" applyFont="1" applyBorder="1" applyAlignment="1">
      <alignment vertical="center" wrapText="1"/>
    </xf>
    <xf numFmtId="49" fontId="16" fillId="0" borderId="14" xfId="0" applyNumberFormat="1" applyFont="1" applyBorder="1" applyAlignment="1">
      <alignment vertical="center" wrapText="1"/>
    </xf>
    <xf numFmtId="0" fontId="16" fillId="0" borderId="7" xfId="0" applyFont="1" applyBorder="1" applyAlignment="1">
      <alignment horizontal="left" vertical="center" wrapText="1"/>
    </xf>
    <xf numFmtId="0" fontId="18" fillId="0" borderId="0" xfId="0" applyFont="1" applyAlignment="1">
      <alignment horizontal="left" wrapText="1"/>
    </xf>
    <xf numFmtId="0" fontId="13" fillId="0" borderId="0" xfId="2" applyAlignment="1">
      <alignment horizontal="left" wrapText="1"/>
    </xf>
    <xf numFmtId="0" fontId="16" fillId="0" borderId="10" xfId="0" applyFont="1" applyBorder="1" applyAlignment="1">
      <alignment horizontal="left" vertical="center" wrapText="1"/>
    </xf>
    <xf numFmtId="0" fontId="16" fillId="0" borderId="9" xfId="0" applyFont="1" applyBorder="1" applyAlignment="1">
      <alignment horizontal="left" vertical="center" wrapText="1"/>
    </xf>
    <xf numFmtId="0" fontId="16" fillId="0" borderId="11" xfId="0" applyFont="1" applyBorder="1" applyAlignment="1">
      <alignment horizontal="left" vertical="center" wrapText="1" indent="1"/>
    </xf>
    <xf numFmtId="0" fontId="16" fillId="0" borderId="0" xfId="0" applyFont="1" applyBorder="1" applyAlignment="1">
      <alignment horizontal="left" vertical="center" wrapText="1" indent="1"/>
    </xf>
    <xf numFmtId="0" fontId="16" fillId="0" borderId="6"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1" xfId="0" quotePrefix="1" applyFont="1" applyBorder="1" applyAlignment="1">
      <alignment horizontal="left" vertical="center" wrapText="1" indent="1"/>
    </xf>
    <xf numFmtId="0" fontId="16" fillId="0" borderId="1" xfId="0" applyFont="1" applyBorder="1" applyAlignment="1">
      <alignment horizontal="left" vertical="center" wrapText="1"/>
    </xf>
    <xf numFmtId="0" fontId="16" fillId="0" borderId="2" xfId="0" applyFont="1" applyFill="1" applyBorder="1" applyAlignment="1">
      <alignment horizontal="left" vertical="top" wrapText="1"/>
    </xf>
    <xf numFmtId="0" fontId="16" fillId="0" borderId="4" xfId="0" applyFont="1" applyFill="1" applyBorder="1" applyAlignment="1">
      <alignment horizontal="left" vertical="top" wrapText="1"/>
    </xf>
    <xf numFmtId="0" fontId="10" fillId="3" borderId="3" xfId="0" applyFont="1" applyFill="1" applyBorder="1" applyAlignment="1">
      <alignment horizontal="left" wrapText="1"/>
    </xf>
    <xf numFmtId="0" fontId="9" fillId="0" borderId="3" xfId="0" applyFont="1" applyBorder="1" applyAlignment="1">
      <alignment horizontal="center" wrapText="1"/>
    </xf>
    <xf numFmtId="0" fontId="9" fillId="0" borderId="0" xfId="0" applyFont="1" applyAlignment="1">
      <alignment horizontal="left"/>
    </xf>
    <xf numFmtId="0" fontId="16" fillId="0" borderId="0" xfId="0" applyFont="1" applyAlignment="1">
      <alignment horizontal="left" wrapText="1"/>
    </xf>
    <xf numFmtId="0" fontId="19" fillId="0" borderId="0" xfId="0" applyFont="1" applyAlignment="1">
      <alignment horizontal="left" wrapText="1"/>
    </xf>
    <xf numFmtId="0" fontId="5" fillId="0" borderId="5" xfId="0" applyFont="1" applyBorder="1" applyAlignment="1">
      <alignment horizontal="left" vertical="top"/>
    </xf>
    <xf numFmtId="0" fontId="5" fillId="0" borderId="2" xfId="0" applyFont="1" applyBorder="1" applyAlignment="1">
      <alignment horizontal="left" vertical="top"/>
    </xf>
    <xf numFmtId="0" fontId="5" fillId="0" borderId="0" xfId="0" applyFont="1" applyAlignment="1">
      <alignment horizontal="left" wrapText="1"/>
    </xf>
    <xf numFmtId="49" fontId="9" fillId="0" borderId="3" xfId="0" applyNumberFormat="1" applyFont="1" applyBorder="1" applyAlignment="1" applyProtection="1">
      <alignment horizontal="left"/>
      <protection locked="0"/>
    </xf>
    <xf numFmtId="49" fontId="14" fillId="6" borderId="9" xfId="0" applyNumberFormat="1" applyFont="1" applyFill="1" applyBorder="1" applyAlignment="1" applyProtection="1">
      <alignment horizontal="left" wrapText="1"/>
      <protection locked="0"/>
    </xf>
    <xf numFmtId="49" fontId="9" fillId="0" borderId="3" xfId="0" applyNumberFormat="1" applyFont="1" applyBorder="1" applyAlignment="1" applyProtection="1">
      <alignment horizontal="center" wrapText="1"/>
      <protection locked="0"/>
    </xf>
    <xf numFmtId="2" fontId="9" fillId="0" borderId="5" xfId="1" applyNumberFormat="1" applyFont="1" applyBorder="1" applyAlignment="1">
      <alignment horizontal="center" vertical="center" wrapText="1"/>
    </xf>
    <xf numFmtId="2" fontId="9" fillId="0" borderId="2" xfId="1" applyNumberFormat="1" applyFont="1" applyBorder="1" applyAlignment="1">
      <alignment horizontal="center" vertical="center" wrapText="1"/>
    </xf>
    <xf numFmtId="2" fontId="9" fillId="0" borderId="4" xfId="1" applyNumberFormat="1" applyFont="1" applyBorder="1" applyAlignment="1">
      <alignment horizontal="center" vertical="center" wrapText="1"/>
    </xf>
    <xf numFmtId="49" fontId="6" fillId="0" borderId="0" xfId="0" applyNumberFormat="1" applyFont="1" applyAlignment="1">
      <alignment horizontal="left" vertical="center" wrapText="1"/>
    </xf>
    <xf numFmtId="49" fontId="6" fillId="0" borderId="8" xfId="0" applyNumberFormat="1" applyFont="1" applyBorder="1" applyAlignment="1">
      <alignment horizontal="left" vertical="center" wrapText="1"/>
    </xf>
    <xf numFmtId="0" fontId="9" fillId="0" borderId="3" xfId="0" applyFont="1" applyBorder="1" applyAlignment="1" applyProtection="1">
      <alignment horizontal="center" wrapText="1"/>
      <protection locked="0"/>
    </xf>
    <xf numFmtId="0" fontId="10" fillId="3" borderId="9" xfId="0" applyFont="1" applyFill="1" applyBorder="1" applyAlignment="1">
      <alignment horizontal="left" wrapText="1"/>
    </xf>
    <xf numFmtId="0" fontId="10" fillId="3" borderId="10" xfId="0" applyFont="1" applyFill="1" applyBorder="1" applyAlignment="1">
      <alignment horizontal="left" wrapText="1"/>
    </xf>
    <xf numFmtId="0" fontId="10" fillId="3" borderId="6" xfId="0" applyFont="1" applyFill="1" applyBorder="1" applyAlignment="1">
      <alignment horizontal="left" wrapText="1"/>
    </xf>
    <xf numFmtId="0" fontId="7" fillId="3" borderId="11" xfId="0" applyFont="1" applyFill="1" applyBorder="1" applyAlignment="1">
      <alignment horizontal="left" wrapText="1"/>
    </xf>
    <xf numFmtId="0" fontId="7" fillId="3" borderId="6" xfId="0" applyFont="1" applyFill="1" applyBorder="1" applyAlignment="1">
      <alignment horizontal="left" wrapText="1"/>
    </xf>
    <xf numFmtId="0" fontId="10" fillId="3" borderId="12" xfId="0" applyFont="1" applyFill="1" applyBorder="1" applyAlignment="1">
      <alignment horizontal="left" wrapText="1"/>
    </xf>
    <xf numFmtId="0" fontId="10" fillId="3" borderId="7" xfId="0" applyFont="1" applyFill="1" applyBorder="1" applyAlignment="1">
      <alignment horizontal="left" wrapText="1"/>
    </xf>
    <xf numFmtId="49" fontId="5" fillId="0" borderId="0" xfId="0" applyNumberFormat="1" applyFont="1" applyAlignment="1">
      <alignment horizontal="left" vertical="center" wrapText="1"/>
    </xf>
    <xf numFmtId="49" fontId="5" fillId="0" borderId="8" xfId="0" applyNumberFormat="1" applyFont="1" applyBorder="1" applyAlignment="1">
      <alignment horizontal="left" vertical="center" wrapText="1"/>
    </xf>
    <xf numFmtId="0" fontId="6" fillId="0" borderId="0" xfId="0" applyFont="1" applyAlignment="1">
      <alignment horizontal="left" vertical="center" wrapText="1"/>
    </xf>
    <xf numFmtId="0" fontId="6" fillId="0" borderId="8" xfId="0" applyFont="1" applyBorder="1" applyAlignment="1">
      <alignment horizontal="left" vertical="center" wrapText="1"/>
    </xf>
    <xf numFmtId="0" fontId="3" fillId="0" borderId="5"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49" fontId="5" fillId="0" borderId="5" xfId="0" applyNumberFormat="1" applyFont="1" applyBorder="1" applyAlignment="1">
      <alignment wrapText="1"/>
    </xf>
    <xf numFmtId="49" fontId="5" fillId="0" borderId="4" xfId="0" applyNumberFormat="1" applyFont="1" applyBorder="1" applyAlignment="1">
      <alignment wrapText="1"/>
    </xf>
    <xf numFmtId="49" fontId="5" fillId="0" borderId="0" xfId="0" applyNumberFormat="1" applyFont="1" applyAlignment="1">
      <alignment vertical="center" wrapText="1"/>
    </xf>
    <xf numFmtId="0" fontId="10" fillId="3" borderId="5" xfId="0" applyFont="1" applyFill="1" applyBorder="1" applyAlignment="1">
      <alignment horizontal="center" wrapText="1"/>
    </xf>
    <xf numFmtId="0" fontId="10" fillId="3" borderId="4" xfId="0" applyFont="1" applyFill="1" applyBorder="1" applyAlignment="1">
      <alignment horizontal="center" wrapText="1"/>
    </xf>
    <xf numFmtId="2" fontId="9" fillId="0" borderId="11" xfId="1" applyNumberFormat="1" applyFont="1" applyBorder="1" applyAlignment="1">
      <alignment horizontal="center" vertical="center" wrapText="1"/>
    </xf>
    <xf numFmtId="2" fontId="9" fillId="0" borderId="0" xfId="1" applyNumberFormat="1" applyFont="1" applyAlignment="1">
      <alignment horizontal="center" vertical="center" wrapText="1"/>
    </xf>
    <xf numFmtId="2" fontId="9" fillId="0" borderId="8" xfId="1" applyNumberFormat="1" applyFont="1" applyBorder="1" applyAlignment="1">
      <alignment horizontal="center" vertical="center" wrapText="1"/>
    </xf>
    <xf numFmtId="2" fontId="9" fillId="0" borderId="6" xfId="1" applyNumberFormat="1" applyFont="1" applyBorder="1" applyAlignment="1">
      <alignment horizontal="center" vertical="center" wrapText="1"/>
    </xf>
    <xf numFmtId="2" fontId="9" fillId="0" borderId="3" xfId="1" applyNumberFormat="1" applyFont="1" applyBorder="1" applyAlignment="1">
      <alignment horizontal="center" vertical="center" wrapText="1"/>
    </xf>
    <xf numFmtId="2" fontId="9" fillId="0" borderId="7" xfId="1" applyNumberFormat="1" applyFont="1" applyBorder="1" applyAlignment="1">
      <alignment horizontal="center" vertical="center" wrapText="1"/>
    </xf>
    <xf numFmtId="49" fontId="10" fillId="3" borderId="0" xfId="0" applyNumberFormat="1" applyFont="1" applyFill="1" applyAlignment="1">
      <alignment horizontal="left" wrapText="1"/>
    </xf>
    <xf numFmtId="49" fontId="5" fillId="0" borderId="1" xfId="0" applyNumberFormat="1" applyFont="1" applyBorder="1" applyAlignment="1">
      <alignment wrapText="1"/>
    </xf>
    <xf numFmtId="0" fontId="5" fillId="0" borderId="1" xfId="0" applyFont="1" applyBorder="1" applyAlignment="1">
      <alignment wrapText="1"/>
    </xf>
    <xf numFmtId="49" fontId="5" fillId="0" borderId="1" xfId="0" applyNumberFormat="1" applyFont="1" applyBorder="1" applyAlignment="1">
      <alignment horizontal="left" wrapText="1"/>
    </xf>
    <xf numFmtId="49" fontId="5" fillId="0" borderId="13" xfId="0" applyNumberFormat="1" applyFont="1" applyBorder="1" applyAlignment="1">
      <alignment horizontal="center" wrapText="1"/>
    </xf>
    <xf numFmtId="49" fontId="5" fillId="0" borderId="14" xfId="0" applyNumberFormat="1" applyFont="1" applyBorder="1" applyAlignment="1">
      <alignment horizontal="center" wrapText="1"/>
    </xf>
    <xf numFmtId="49" fontId="16" fillId="0" borderId="0" xfId="0" applyNumberFormat="1" applyFont="1" applyAlignment="1">
      <alignment horizontal="left" vertical="center" wrapText="1"/>
    </xf>
    <xf numFmtId="49" fontId="16" fillId="0" borderId="8" xfId="0" applyNumberFormat="1" applyFont="1" applyBorder="1" applyAlignment="1">
      <alignment horizontal="left" vertical="center" wrapText="1"/>
    </xf>
    <xf numFmtId="0" fontId="7" fillId="3" borderId="5" xfId="0" applyFont="1" applyFill="1" applyBorder="1" applyAlignment="1">
      <alignment horizontal="left" wrapText="1"/>
    </xf>
    <xf numFmtId="0" fontId="7" fillId="3" borderId="2" xfId="0" applyFont="1" applyFill="1" applyBorder="1" applyAlignment="1">
      <alignment horizontal="left" wrapText="1"/>
    </xf>
    <xf numFmtId="0" fontId="7" fillId="3" borderId="4" xfId="0" applyFont="1" applyFill="1" applyBorder="1" applyAlignment="1">
      <alignment horizontal="left" wrapText="1"/>
    </xf>
    <xf numFmtId="0" fontId="12" fillId="5" borderId="1" xfId="0" applyFont="1" applyFill="1" applyBorder="1" applyAlignment="1" applyProtection="1">
      <alignment horizontal="left" vertical="center" wrapText="1"/>
      <protection locked="0"/>
    </xf>
    <xf numFmtId="0" fontId="6" fillId="0" borderId="0" xfId="0" applyFont="1" applyAlignment="1">
      <alignment horizontal="left" wrapText="1"/>
    </xf>
    <xf numFmtId="0" fontId="6" fillId="0" borderId="0" xfId="0" applyFont="1" applyAlignment="1">
      <alignment horizontal="left"/>
    </xf>
    <xf numFmtId="0" fontId="11" fillId="0" borderId="3" xfId="0" applyFont="1" applyBorder="1" applyAlignment="1">
      <alignment horizontal="left" wrapText="1"/>
    </xf>
    <xf numFmtId="0" fontId="2" fillId="5" borderId="1" xfId="0" applyFont="1" applyFill="1" applyBorder="1" applyAlignment="1" applyProtection="1">
      <alignment horizontal="left" wrapText="1"/>
      <protection locked="0"/>
    </xf>
    <xf numFmtId="0" fontId="7" fillId="3" borderId="6" xfId="0" applyFont="1" applyFill="1" applyBorder="1" applyAlignment="1">
      <alignment horizontal="left"/>
    </xf>
    <xf numFmtId="0" fontId="7" fillId="3" borderId="3" xfId="0" applyFont="1" applyFill="1" applyBorder="1" applyAlignment="1">
      <alignment horizontal="left"/>
    </xf>
    <xf numFmtId="0" fontId="12" fillId="5" borderId="5" xfId="0" applyFont="1" applyFill="1" applyBorder="1" applyAlignment="1" applyProtection="1">
      <alignment horizontal="left" vertical="center" wrapText="1"/>
      <protection locked="0"/>
    </xf>
    <xf numFmtId="0" fontId="12" fillId="5" borderId="4" xfId="0" applyFont="1" applyFill="1" applyBorder="1" applyAlignment="1" applyProtection="1">
      <alignment horizontal="left" vertical="center" wrapText="1"/>
      <protection locked="0"/>
    </xf>
    <xf numFmtId="0" fontId="5" fillId="0" borderId="3" xfId="0" applyFont="1" applyBorder="1" applyAlignment="1">
      <alignment horizontal="left" wrapText="1"/>
    </xf>
  </cellXfs>
  <cellStyles count="4">
    <cellStyle name="Comma" xfId="1" builtinId="3"/>
    <cellStyle name="Hyperlink" xfId="2" builtinId="8"/>
    <cellStyle name="Normal" xfId="0" builtinId="0"/>
    <cellStyle name="Percent" xfId="3" builtinId="5"/>
  </cellStyles>
  <dxfs count="2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5</xdr:col>
      <xdr:colOff>285750</xdr:colOff>
      <xdr:row>22</xdr:row>
      <xdr:rowOff>172640</xdr:rowOff>
    </xdr:from>
    <xdr:to>
      <xdr:col>6</xdr:col>
      <xdr:colOff>279797</xdr:colOff>
      <xdr:row>22</xdr:row>
      <xdr:rowOff>172640</xdr:rowOff>
    </xdr:to>
    <xdr:cxnSp macro="">
      <xdr:nvCxnSpPr>
        <xdr:cNvPr id="7" name="Straight Connector 6">
          <a:extLst>
            <a:ext uri="{FF2B5EF4-FFF2-40B4-BE49-F238E27FC236}">
              <a16:creationId xmlns:a16="http://schemas.microsoft.com/office/drawing/2014/main" id="{F24E46B1-A058-4BD9-8B25-2D5170A00733}"/>
            </a:ext>
          </a:extLst>
        </xdr:cNvPr>
        <xdr:cNvCxnSpPr/>
      </xdr:nvCxnSpPr>
      <xdr:spPr>
        <a:xfrm>
          <a:off x="3684984" y="9263062"/>
          <a:ext cx="1791891" cy="0"/>
        </a:xfrm>
        <a:prstGeom prst="line">
          <a:avLst/>
        </a:prstGeom>
        <a:ln w="2540" cmpd="sng">
          <a:solidFill>
            <a:schemeClr val="tx1"/>
          </a:solidFil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297656</xdr:colOff>
      <xdr:row>25</xdr:row>
      <xdr:rowOff>0</xdr:rowOff>
    </xdr:from>
    <xdr:to>
      <xdr:col>6</xdr:col>
      <xdr:colOff>285750</xdr:colOff>
      <xdr:row>25</xdr:row>
      <xdr:rowOff>0</xdr:rowOff>
    </xdr:to>
    <xdr:cxnSp macro="">
      <xdr:nvCxnSpPr>
        <xdr:cNvPr id="12" name="Straight Connector 11">
          <a:extLst>
            <a:ext uri="{FF2B5EF4-FFF2-40B4-BE49-F238E27FC236}">
              <a16:creationId xmlns:a16="http://schemas.microsoft.com/office/drawing/2014/main" id="{DACA2BEF-D8E9-4A7B-9565-CC5C02D9CAE0}"/>
            </a:ext>
          </a:extLst>
        </xdr:cNvPr>
        <xdr:cNvCxnSpPr/>
      </xdr:nvCxnSpPr>
      <xdr:spPr>
        <a:xfrm>
          <a:off x="3696890" y="9620250"/>
          <a:ext cx="1785938" cy="0"/>
        </a:xfrm>
        <a:prstGeom prst="line">
          <a:avLst/>
        </a:prstGeom>
        <a:ln w="2540" cmpd="sng">
          <a:solidFill>
            <a:schemeClr val="tx1"/>
          </a:solidFill>
        </a:ln>
        <a:effectLst/>
      </xdr:spPr>
      <xdr:style>
        <a:lnRef idx="2">
          <a:schemeClr val="accent1"/>
        </a:lnRef>
        <a:fillRef idx="0">
          <a:schemeClr val="accent1"/>
        </a:fillRef>
        <a:effectRef idx="1">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24"/>
  <sheetViews>
    <sheetView showGridLines="0" tabSelected="1" view="pageLayout" zoomScale="130" zoomScaleNormal="130" zoomScalePageLayoutView="130" workbookViewId="0">
      <selection activeCell="A15" sqref="A15:C15"/>
    </sheetView>
  </sheetViews>
  <sheetFormatPr defaultColWidth="11.453125" defaultRowHeight="14" x14ac:dyDescent="0.3"/>
  <cols>
    <col min="1" max="1" width="6.54296875" style="1" customWidth="1"/>
    <col min="2" max="2" width="9.7265625" style="1" customWidth="1"/>
    <col min="3" max="3" width="20.7265625" style="1" customWidth="1"/>
    <col min="4" max="4" width="9.453125" style="1" bestFit="1" customWidth="1"/>
    <col min="5" max="5" width="10" style="1" customWidth="1"/>
    <col min="6" max="6" width="35.7265625" style="1" customWidth="1"/>
    <col min="7" max="7" width="0" style="1" hidden="1" customWidth="1"/>
    <col min="8" max="8" width="0.7265625" style="15" hidden="1" customWidth="1"/>
    <col min="9" max="16384" width="11.453125" style="1"/>
  </cols>
  <sheetData>
    <row r="1" spans="1:15" s="2" customFormat="1" ht="11.5" x14ac:dyDescent="0.25">
      <c r="A1" s="67" t="s">
        <v>0</v>
      </c>
      <c r="B1" s="95"/>
      <c r="C1" s="95"/>
      <c r="D1" s="67" t="s">
        <v>1</v>
      </c>
      <c r="E1" s="11"/>
      <c r="F1" s="5"/>
      <c r="H1" s="21" t="s">
        <v>2</v>
      </c>
    </row>
    <row r="2" spans="1:15" s="2" customFormat="1" ht="11.5" x14ac:dyDescent="0.25">
      <c r="A2" s="67"/>
      <c r="B2" s="67"/>
      <c r="C2" s="67"/>
      <c r="D2" s="67"/>
      <c r="E2" s="67"/>
      <c r="F2" s="4"/>
      <c r="H2" s="20"/>
    </row>
    <row r="3" spans="1:15" s="2" customFormat="1" ht="11.5" x14ac:dyDescent="0.25">
      <c r="A3" s="96" t="s">
        <v>3</v>
      </c>
      <c r="B3" s="96"/>
      <c r="C3" s="18"/>
      <c r="D3" s="19"/>
      <c r="E3" s="67"/>
      <c r="F3" s="4"/>
      <c r="H3" s="20"/>
    </row>
    <row r="4" spans="1:15" s="2" customFormat="1" ht="11.5" x14ac:dyDescent="0.25">
      <c r="A4" s="4"/>
      <c r="B4" s="4"/>
      <c r="C4" s="4"/>
      <c r="D4" s="4"/>
      <c r="E4" s="4"/>
      <c r="F4" s="4"/>
      <c r="H4" s="20"/>
    </row>
    <row r="5" spans="1:15" s="2" customFormat="1" ht="26.25" customHeight="1" x14ac:dyDescent="0.25">
      <c r="A5" s="99" t="s">
        <v>4</v>
      </c>
      <c r="B5" s="100"/>
      <c r="C5" s="92" t="s">
        <v>113</v>
      </c>
      <c r="D5" s="92"/>
      <c r="E5" s="92"/>
      <c r="F5" s="93"/>
      <c r="H5" s="20" t="s">
        <v>5</v>
      </c>
      <c r="I5" s="82"/>
      <c r="J5" s="82"/>
      <c r="K5" s="82"/>
      <c r="L5" s="82"/>
      <c r="M5" s="82"/>
      <c r="N5" s="82"/>
      <c r="O5" s="66"/>
    </row>
    <row r="6" spans="1:15" s="2" customFormat="1" ht="79.5" customHeight="1" x14ac:dyDescent="0.25">
      <c r="A6" s="97" t="s">
        <v>132</v>
      </c>
      <c r="B6" s="98"/>
      <c r="C6" s="98"/>
      <c r="D6" s="98"/>
      <c r="E6" s="98"/>
      <c r="F6" s="98"/>
      <c r="H6" s="20"/>
    </row>
    <row r="7" spans="1:15" s="2" customFormat="1" ht="23" x14ac:dyDescent="0.25">
      <c r="A7" s="101" t="s">
        <v>6</v>
      </c>
      <c r="B7" s="101"/>
      <c r="C7" s="68"/>
      <c r="D7" s="68"/>
      <c r="E7" s="68"/>
      <c r="F7" s="68"/>
      <c r="H7" s="20" t="s">
        <v>7</v>
      </c>
    </row>
    <row r="8" spans="1:15" s="2" customFormat="1" ht="38.15" customHeight="1" x14ac:dyDescent="0.25">
      <c r="A8" s="94" t="s">
        <v>8</v>
      </c>
      <c r="B8" s="94"/>
      <c r="C8" s="94"/>
      <c r="D8" s="13" t="s">
        <v>9</v>
      </c>
      <c r="E8" s="13" t="s">
        <v>10</v>
      </c>
      <c r="F8" s="13" t="s">
        <v>110</v>
      </c>
      <c r="H8" s="20"/>
    </row>
    <row r="9" spans="1:15" s="2" customFormat="1" ht="39" customHeight="1" x14ac:dyDescent="0.25">
      <c r="A9" s="91" t="s">
        <v>11</v>
      </c>
      <c r="B9" s="91"/>
      <c r="C9" s="91"/>
      <c r="D9" s="62"/>
      <c r="E9" s="62"/>
      <c r="F9" s="10"/>
      <c r="H9" s="20" t="s">
        <v>5</v>
      </c>
    </row>
    <row r="10" spans="1:15" s="2" customFormat="1" ht="39.65" customHeight="1" x14ac:dyDescent="0.25">
      <c r="A10" s="91" t="s">
        <v>12</v>
      </c>
      <c r="B10" s="91"/>
      <c r="C10" s="91"/>
      <c r="D10" s="62"/>
      <c r="E10" s="62"/>
      <c r="F10" s="10"/>
      <c r="H10" s="20" t="s">
        <v>5</v>
      </c>
    </row>
    <row r="11" spans="1:15" s="2" customFormat="1" ht="32.5" customHeight="1" x14ac:dyDescent="0.25">
      <c r="A11" s="84" t="s">
        <v>114</v>
      </c>
      <c r="B11" s="85"/>
      <c r="C11" s="85"/>
      <c r="D11" s="61"/>
      <c r="E11" s="63"/>
      <c r="F11" s="58"/>
      <c r="H11" s="20" t="s">
        <v>5</v>
      </c>
    </row>
    <row r="12" spans="1:15" s="2" customFormat="1" ht="18" customHeight="1" x14ac:dyDescent="0.25">
      <c r="A12" s="90" t="s">
        <v>115</v>
      </c>
      <c r="B12" s="87"/>
      <c r="C12" s="87"/>
      <c r="D12" s="60"/>
      <c r="E12" s="64"/>
      <c r="F12" s="59"/>
      <c r="H12" s="20" t="s">
        <v>5</v>
      </c>
    </row>
    <row r="13" spans="1:15" s="2" customFormat="1" ht="36.65" customHeight="1" x14ac:dyDescent="0.25">
      <c r="A13" s="86" t="s">
        <v>118</v>
      </c>
      <c r="B13" s="87"/>
      <c r="C13" s="87"/>
      <c r="D13" s="60"/>
      <c r="E13" s="64"/>
      <c r="F13" s="59"/>
      <c r="H13" s="20" t="s">
        <v>5</v>
      </c>
    </row>
    <row r="14" spans="1:15" s="2" customFormat="1" ht="16.5" customHeight="1" x14ac:dyDescent="0.25">
      <c r="A14" s="86" t="s">
        <v>116</v>
      </c>
      <c r="B14" s="87"/>
      <c r="C14" s="87"/>
      <c r="D14" s="60"/>
      <c r="E14" s="65"/>
      <c r="F14" s="59"/>
      <c r="H14" s="20" t="s">
        <v>5</v>
      </c>
    </row>
    <row r="15" spans="1:15" s="2" customFormat="1" ht="16.149999999999999" customHeight="1" x14ac:dyDescent="0.25">
      <c r="A15" s="84" t="s">
        <v>111</v>
      </c>
      <c r="B15" s="85"/>
      <c r="C15" s="85"/>
      <c r="D15" s="61"/>
      <c r="E15" s="63"/>
      <c r="F15" s="58"/>
      <c r="H15" s="20" t="s">
        <v>13</v>
      </c>
    </row>
    <row r="16" spans="1:15" s="2" customFormat="1" ht="24.65" customHeight="1" x14ac:dyDescent="0.25">
      <c r="A16" s="86" t="s">
        <v>119</v>
      </c>
      <c r="B16" s="87"/>
      <c r="C16" s="87"/>
      <c r="D16" s="60"/>
      <c r="E16" s="64"/>
      <c r="F16" s="59"/>
      <c r="H16" s="20" t="s">
        <v>13</v>
      </c>
    </row>
    <row r="17" spans="1:8" s="2" customFormat="1" ht="24" customHeight="1" x14ac:dyDescent="0.25">
      <c r="A17" s="86" t="s">
        <v>117</v>
      </c>
      <c r="B17" s="87"/>
      <c r="C17" s="87"/>
      <c r="D17" s="60"/>
      <c r="E17" s="64"/>
      <c r="F17" s="59"/>
      <c r="H17" s="20" t="s">
        <v>13</v>
      </c>
    </row>
    <row r="18" spans="1:8" s="2" customFormat="1" ht="30" customHeight="1" x14ac:dyDescent="0.25">
      <c r="A18" s="84" t="s">
        <v>120</v>
      </c>
      <c r="B18" s="85"/>
      <c r="C18" s="85"/>
      <c r="D18" s="73"/>
      <c r="E18" s="74"/>
      <c r="F18" s="75"/>
      <c r="H18" s="20" t="s">
        <v>13</v>
      </c>
    </row>
    <row r="19" spans="1:8" s="2" customFormat="1" ht="22.5" customHeight="1" x14ac:dyDescent="0.25">
      <c r="A19" s="86" t="s">
        <v>121</v>
      </c>
      <c r="B19" s="87"/>
      <c r="C19" s="87"/>
      <c r="D19" s="76"/>
      <c r="E19" s="77"/>
      <c r="F19" s="78"/>
      <c r="H19" s="20" t="s">
        <v>13</v>
      </c>
    </row>
    <row r="20" spans="1:8" s="2" customFormat="1" ht="18" customHeight="1" x14ac:dyDescent="0.25">
      <c r="A20" s="88" t="s">
        <v>14</v>
      </c>
      <c r="B20" s="89"/>
      <c r="C20" s="89"/>
      <c r="D20" s="79"/>
      <c r="E20" s="80"/>
      <c r="F20" s="81"/>
      <c r="H20" s="20" t="s">
        <v>13</v>
      </c>
    </row>
    <row r="23" spans="1:8" ht="14.5" x14ac:dyDescent="0.35">
      <c r="A23" s="83" t="s">
        <v>15</v>
      </c>
      <c r="B23" s="83"/>
    </row>
    <row r="24" spans="1:8" ht="14.5" x14ac:dyDescent="0.35">
      <c r="A24" s="83" t="s">
        <v>16</v>
      </c>
      <c r="B24" s="83"/>
    </row>
  </sheetData>
  <mergeCells count="22">
    <mergeCell ref="A8:C8"/>
    <mergeCell ref="B1:C1"/>
    <mergeCell ref="A3:B3"/>
    <mergeCell ref="A6:F6"/>
    <mergeCell ref="A5:B5"/>
    <mergeCell ref="A7:B7"/>
    <mergeCell ref="I5:N5"/>
    <mergeCell ref="A24:B24"/>
    <mergeCell ref="A23:B23"/>
    <mergeCell ref="A11:C11"/>
    <mergeCell ref="A15:C15"/>
    <mergeCell ref="A19:C19"/>
    <mergeCell ref="A20:C20"/>
    <mergeCell ref="A12:C12"/>
    <mergeCell ref="A14:C14"/>
    <mergeCell ref="A13:C13"/>
    <mergeCell ref="A16:C16"/>
    <mergeCell ref="A17:C17"/>
    <mergeCell ref="A9:C9"/>
    <mergeCell ref="A10:C10"/>
    <mergeCell ref="A18:C18"/>
    <mergeCell ref="C5:F5"/>
  </mergeCells>
  <phoneticPr fontId="0" type="noConversion"/>
  <hyperlinks>
    <hyperlink ref="A23:B23" location="partB" display="Go to Part B" xr:uid="{00000000-0004-0000-0000-000000000000}"/>
    <hyperlink ref="A24:B24" location="PartC" display="Go to Part C" xr:uid="{00000000-0004-0000-0000-000001000000}"/>
  </hyperlinks>
  <pageMargins left="0.86614173228346458" right="0.74803149606299213" top="0.981547619047619" bottom="0.55118110236220474" header="0.39370078740157483" footer="0.31496062992125984"/>
  <pageSetup scale="55" fitToHeight="0" orientation="portrait" r:id="rId1"/>
  <headerFooter>
    <oddHeader>&amp;L&amp;"Arial,Bold Italic"&amp;15Worksheet&amp;"Arial,Bold" —&amp;"Arial,Regular" Preliminary analytical procedures — Part A&amp;R&amp;"Arial,Regular"&amp;18 &amp;"Arial,Bold"501
&amp;"Arial,Regular"&amp;8Page &amp;P of &amp;N</oddHeader>
    <oddFooter>&amp;L&amp;"Arial,Regular"&amp;8PEG Forms — Audits&amp;R&amp;"Arial,Regular"&amp;8©2022 CPA Canada PEG</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O121"/>
  <sheetViews>
    <sheetView view="pageLayout" topLeftCell="J1" zoomScale="80" zoomScaleNormal="100" zoomScalePageLayoutView="80" workbookViewId="0">
      <selection activeCell="O2" sqref="O2"/>
    </sheetView>
  </sheetViews>
  <sheetFormatPr defaultRowHeight="14.5" x14ac:dyDescent="0.35"/>
  <cols>
    <col min="1" max="1" width="4.7265625" style="33" customWidth="1"/>
    <col min="2" max="2" width="10.7265625" style="33" customWidth="1"/>
    <col min="3" max="3" width="12.7265625" style="33" customWidth="1"/>
    <col min="5" max="5" width="9.81640625" customWidth="1"/>
    <col min="6" max="6" width="9.54296875" customWidth="1"/>
    <col min="7" max="10" width="8.7265625" customWidth="1"/>
    <col min="11" max="11" width="10" customWidth="1"/>
    <col min="12" max="12" width="33.7265625" customWidth="1"/>
    <col min="13" max="13" width="9.7265625" customWidth="1"/>
    <col min="14" max="14" width="10.54296875" customWidth="1"/>
    <col min="15" max="15" width="102.7265625" style="23" hidden="1" customWidth="1"/>
  </cols>
  <sheetData>
    <row r="1" spans="1:15" s="2" customFormat="1" ht="11.5" x14ac:dyDescent="0.25">
      <c r="A1" s="30" t="s">
        <v>0</v>
      </c>
      <c r="B1" s="104"/>
      <c r="C1" s="104"/>
      <c r="D1" s="104"/>
      <c r="E1" s="39"/>
      <c r="F1" s="67" t="s">
        <v>1</v>
      </c>
      <c r="G1" s="110"/>
      <c r="H1" s="110"/>
      <c r="I1" s="39"/>
      <c r="J1" s="39"/>
      <c r="K1" s="39"/>
      <c r="O1" s="53" t="s">
        <v>2</v>
      </c>
    </row>
    <row r="2" spans="1:15" s="2" customFormat="1" ht="11.5" x14ac:dyDescent="0.25">
      <c r="A2" s="30"/>
      <c r="B2" s="30"/>
      <c r="C2" s="30"/>
      <c r="D2" s="67"/>
      <c r="E2" s="67"/>
      <c r="F2" s="67"/>
      <c r="G2" s="67"/>
      <c r="H2" s="67"/>
      <c r="I2" s="8"/>
      <c r="J2" s="8"/>
      <c r="K2" s="67"/>
      <c r="L2" s="67"/>
      <c r="M2" s="4"/>
      <c r="O2" s="53" t="s">
        <v>17</v>
      </c>
    </row>
    <row r="3" spans="1:15" s="2" customFormat="1" ht="11.5" x14ac:dyDescent="0.25">
      <c r="A3" s="31" t="s">
        <v>3</v>
      </c>
      <c r="B3" s="31"/>
      <c r="C3" s="102"/>
      <c r="D3" s="102"/>
      <c r="E3" s="19"/>
      <c r="F3" s="19"/>
      <c r="G3" s="19"/>
      <c r="H3" s="19"/>
      <c r="I3" s="19"/>
      <c r="J3" s="19"/>
      <c r="K3" s="19"/>
      <c r="L3" s="19"/>
      <c r="M3" s="4"/>
      <c r="O3" s="14"/>
    </row>
    <row r="4" spans="1:15" s="2" customFormat="1" ht="11.5" x14ac:dyDescent="0.25">
      <c r="A4" s="32"/>
      <c r="B4" s="32"/>
      <c r="C4" s="32"/>
      <c r="D4" s="4"/>
      <c r="E4" s="4"/>
      <c r="F4" s="4"/>
      <c r="G4" s="4"/>
      <c r="H4" s="4"/>
      <c r="I4" s="6"/>
      <c r="J4" s="6"/>
      <c r="K4" s="4"/>
      <c r="L4" s="4"/>
      <c r="M4" s="4"/>
      <c r="O4" s="14"/>
    </row>
    <row r="6" spans="1:15" s="2" customFormat="1" ht="11.5" x14ac:dyDescent="0.25">
      <c r="A6" s="136" t="s">
        <v>18</v>
      </c>
      <c r="B6" s="136"/>
      <c r="C6" s="136"/>
      <c r="D6" s="136"/>
      <c r="E6" s="136"/>
      <c r="F6" s="136"/>
      <c r="G6" s="136"/>
      <c r="H6" s="136"/>
      <c r="I6" s="136"/>
      <c r="J6" s="136"/>
      <c r="K6" s="136"/>
      <c r="L6" s="136"/>
      <c r="M6" s="136"/>
      <c r="O6" s="14"/>
    </row>
    <row r="7" spans="1:15" s="2" customFormat="1" ht="11.5" x14ac:dyDescent="0.25">
      <c r="A7" s="138" t="s">
        <v>19</v>
      </c>
      <c r="B7" s="138"/>
      <c r="C7" s="138"/>
      <c r="D7" s="138"/>
      <c r="E7" s="138"/>
      <c r="F7" s="138"/>
      <c r="G7" s="138"/>
      <c r="H7" s="138"/>
      <c r="I7" s="138"/>
      <c r="J7" s="138"/>
      <c r="K7" s="138"/>
      <c r="L7" s="138"/>
      <c r="M7" s="138"/>
      <c r="O7" s="14"/>
    </row>
    <row r="8" spans="1:15" s="2" customFormat="1" ht="11.5" x14ac:dyDescent="0.25">
      <c r="A8" s="140"/>
      <c r="B8" s="137" t="s">
        <v>20</v>
      </c>
      <c r="C8" s="137"/>
      <c r="D8" s="41" t="s">
        <v>21</v>
      </c>
      <c r="E8" s="122"/>
      <c r="F8" s="123"/>
      <c r="G8" s="123"/>
      <c r="H8" s="123"/>
      <c r="I8" s="123"/>
      <c r="J8" s="123"/>
      <c r="K8" s="123"/>
      <c r="L8" s="123"/>
      <c r="M8" s="124"/>
      <c r="O8" s="14"/>
    </row>
    <row r="9" spans="1:15" s="2" customFormat="1" ht="11.5" x14ac:dyDescent="0.25">
      <c r="A9" s="141"/>
      <c r="B9" s="125" t="s">
        <v>133</v>
      </c>
      <c r="C9" s="126"/>
      <c r="D9" s="41" t="s">
        <v>21</v>
      </c>
      <c r="E9" s="122"/>
      <c r="F9" s="123"/>
      <c r="G9" s="123"/>
      <c r="H9" s="123"/>
      <c r="I9" s="123"/>
      <c r="J9" s="123"/>
      <c r="K9" s="123"/>
      <c r="L9" s="123"/>
      <c r="M9" s="124"/>
      <c r="O9" s="14"/>
    </row>
    <row r="10" spans="1:15" s="2" customFormat="1" ht="26.25" customHeight="1" x14ac:dyDescent="0.25">
      <c r="A10" s="139" t="s">
        <v>22</v>
      </c>
      <c r="B10" s="139"/>
      <c r="C10" s="139"/>
      <c r="D10" s="51">
        <v>1</v>
      </c>
      <c r="E10" s="122"/>
      <c r="F10" s="123"/>
      <c r="G10" s="123"/>
      <c r="H10" s="123"/>
      <c r="I10" s="123"/>
      <c r="J10" s="123"/>
      <c r="K10" s="123"/>
      <c r="L10" s="123"/>
      <c r="M10" s="124"/>
      <c r="O10" s="14"/>
    </row>
    <row r="11" spans="1:15" s="49" customFormat="1" ht="34.5" x14ac:dyDescent="0.25">
      <c r="A11" s="103" t="s">
        <v>23</v>
      </c>
      <c r="B11" s="103"/>
      <c r="C11" s="103"/>
      <c r="D11" s="103"/>
      <c r="E11" s="103"/>
      <c r="F11" s="103"/>
      <c r="G11" s="103"/>
      <c r="H11" s="103"/>
      <c r="I11" s="103"/>
      <c r="J11" s="103"/>
      <c r="K11" s="103"/>
      <c r="L11" s="103"/>
      <c r="M11" s="103"/>
      <c r="O11" s="50" t="s">
        <v>5</v>
      </c>
    </row>
    <row r="12" spans="1:15" s="2" customFormat="1" ht="10.9" customHeight="1" x14ac:dyDescent="0.25">
      <c r="A12" s="34"/>
      <c r="B12" s="34"/>
      <c r="C12" s="34"/>
      <c r="D12" s="29"/>
      <c r="E12" s="69"/>
      <c r="F12" s="29"/>
      <c r="G12" s="29"/>
      <c r="H12" s="29"/>
      <c r="I12" s="29"/>
      <c r="J12" s="29"/>
      <c r="K12" s="29"/>
      <c r="L12" s="16"/>
      <c r="M12" s="29"/>
      <c r="O12" s="14"/>
    </row>
    <row r="13" spans="1:15" s="1" customFormat="1" ht="42" x14ac:dyDescent="0.3">
      <c r="A13" s="35"/>
      <c r="B13" s="35"/>
      <c r="C13" s="35"/>
      <c r="D13" s="112" t="s">
        <v>24</v>
      </c>
      <c r="E13" s="111" t="s">
        <v>25</v>
      </c>
      <c r="F13" s="111" t="s">
        <v>26</v>
      </c>
      <c r="G13" s="128" t="s">
        <v>27</v>
      </c>
      <c r="H13" s="129"/>
      <c r="I13" s="128" t="s">
        <v>28</v>
      </c>
      <c r="J13" s="129"/>
      <c r="K13" s="116" t="s">
        <v>29</v>
      </c>
      <c r="L13" s="114" t="s">
        <v>30</v>
      </c>
      <c r="M13" s="111" t="s">
        <v>134</v>
      </c>
      <c r="O13" s="40" t="s">
        <v>5</v>
      </c>
    </row>
    <row r="14" spans="1:15" s="1" customFormat="1" ht="53.25" customHeight="1" x14ac:dyDescent="0.3">
      <c r="A14" s="112" t="s">
        <v>122</v>
      </c>
      <c r="B14" s="111"/>
      <c r="C14" s="116"/>
      <c r="D14" s="113"/>
      <c r="E14" s="94"/>
      <c r="F14" s="94"/>
      <c r="G14" s="22" t="s">
        <v>31</v>
      </c>
      <c r="H14" s="24" t="s">
        <v>32</v>
      </c>
      <c r="I14" s="25" t="s">
        <v>31</v>
      </c>
      <c r="J14" s="22" t="s">
        <v>32</v>
      </c>
      <c r="K14" s="117"/>
      <c r="L14" s="115"/>
      <c r="M14" s="94"/>
      <c r="O14" s="15"/>
    </row>
    <row r="15" spans="1:15" s="1" customFormat="1" ht="14" x14ac:dyDescent="0.3">
      <c r="A15" s="118" t="s">
        <v>33</v>
      </c>
      <c r="B15" s="118"/>
      <c r="C15" s="119"/>
      <c r="D15" s="105"/>
      <c r="E15" s="106"/>
      <c r="F15" s="106"/>
      <c r="G15" s="106"/>
      <c r="H15" s="106"/>
      <c r="I15" s="106"/>
      <c r="J15" s="106"/>
      <c r="K15" s="106"/>
      <c r="L15" s="106"/>
      <c r="M15" s="107"/>
      <c r="O15" s="15"/>
    </row>
    <row r="16" spans="1:15" s="1" customFormat="1" ht="14.25" customHeight="1" x14ac:dyDescent="0.3">
      <c r="A16" s="142" t="s">
        <v>135</v>
      </c>
      <c r="B16" s="142"/>
      <c r="C16" s="143"/>
      <c r="D16" s="37"/>
      <c r="E16" s="37"/>
      <c r="F16" s="37"/>
      <c r="G16" s="27">
        <f>+D16-E16</f>
        <v>0</v>
      </c>
      <c r="H16" s="48" t="e">
        <f t="shared" ref="H16:H21" si="0">+G16/E16</f>
        <v>#DIV/0!</v>
      </c>
      <c r="I16" s="28">
        <f>+F16-D16</f>
        <v>0</v>
      </c>
      <c r="J16" s="48" t="e">
        <f t="shared" ref="J16:J21" si="1">+I16/F16</f>
        <v>#DIV/0!</v>
      </c>
      <c r="K16" s="37"/>
      <c r="L16" s="54"/>
      <c r="M16" s="54"/>
      <c r="O16" s="15"/>
    </row>
    <row r="17" spans="1:15" s="1" customFormat="1" ht="14" hidden="1" x14ac:dyDescent="0.3">
      <c r="A17" s="108" t="s">
        <v>34</v>
      </c>
      <c r="B17" s="108"/>
      <c r="C17" s="109"/>
      <c r="D17" s="37"/>
      <c r="E17" s="37"/>
      <c r="F17" s="37"/>
      <c r="G17" s="27">
        <f>+D17-E17</f>
        <v>0</v>
      </c>
      <c r="H17" s="48" t="e">
        <f t="shared" si="0"/>
        <v>#DIV/0!</v>
      </c>
      <c r="I17" s="28">
        <f>+F17-D17</f>
        <v>0</v>
      </c>
      <c r="J17" s="48" t="e">
        <f t="shared" si="1"/>
        <v>#DIV/0!</v>
      </c>
      <c r="K17" s="37"/>
      <c r="L17" s="54"/>
      <c r="M17" s="54"/>
      <c r="O17" s="15"/>
    </row>
    <row r="18" spans="1:15" s="1" customFormat="1" ht="14" hidden="1" x14ac:dyDescent="0.3">
      <c r="A18" s="108" t="s">
        <v>35</v>
      </c>
      <c r="B18" s="108"/>
      <c r="C18" s="109"/>
      <c r="D18" s="37"/>
      <c r="E18" s="37"/>
      <c r="F18" s="37"/>
      <c r="G18" s="27">
        <f>+D18-E18</f>
        <v>0</v>
      </c>
      <c r="H18" s="48" t="e">
        <f t="shared" si="0"/>
        <v>#DIV/0!</v>
      </c>
      <c r="I18" s="28">
        <f>+F18-D18</f>
        <v>0</v>
      </c>
      <c r="J18" s="48" t="e">
        <f t="shared" si="1"/>
        <v>#DIV/0!</v>
      </c>
      <c r="K18" s="37"/>
      <c r="L18" s="54"/>
      <c r="M18" s="54"/>
      <c r="O18" s="15"/>
    </row>
    <row r="19" spans="1:15" s="1" customFormat="1" ht="14" hidden="1" x14ac:dyDescent="0.3">
      <c r="A19" s="108" t="s">
        <v>36</v>
      </c>
      <c r="B19" s="108"/>
      <c r="C19" s="109"/>
      <c r="D19" s="37"/>
      <c r="E19" s="37"/>
      <c r="F19" s="37"/>
      <c r="G19" s="27">
        <f>+D19-E19</f>
        <v>0</v>
      </c>
      <c r="H19" s="48" t="e">
        <f t="shared" si="0"/>
        <v>#DIV/0!</v>
      </c>
      <c r="I19" s="28">
        <f>+F19-D19</f>
        <v>0</v>
      </c>
      <c r="J19" s="48" t="e">
        <f t="shared" si="1"/>
        <v>#DIV/0!</v>
      </c>
      <c r="K19" s="37"/>
      <c r="L19" s="54"/>
      <c r="M19" s="54"/>
      <c r="O19" s="15"/>
    </row>
    <row r="20" spans="1:15" s="1" customFormat="1" ht="14" hidden="1" x14ac:dyDescent="0.3">
      <c r="A20" s="108" t="s">
        <v>37</v>
      </c>
      <c r="B20" s="108"/>
      <c r="C20" s="109"/>
      <c r="D20" s="37"/>
      <c r="E20" s="37"/>
      <c r="F20" s="37"/>
      <c r="G20" s="27">
        <f>+D20-E20</f>
        <v>0</v>
      </c>
      <c r="H20" s="48" t="e">
        <f t="shared" si="0"/>
        <v>#DIV/0!</v>
      </c>
      <c r="I20" s="28">
        <f>+F20-D20</f>
        <v>0</v>
      </c>
      <c r="J20" s="48" t="e">
        <f t="shared" si="1"/>
        <v>#DIV/0!</v>
      </c>
      <c r="K20" s="37"/>
      <c r="L20" s="54"/>
      <c r="M20" s="54"/>
      <c r="O20" s="15"/>
    </row>
    <row r="21" spans="1:15" s="1" customFormat="1" ht="14" x14ac:dyDescent="0.3">
      <c r="A21" s="118" t="s">
        <v>38</v>
      </c>
      <c r="B21" s="118"/>
      <c r="C21" s="119"/>
      <c r="D21" s="27">
        <f>SUM(D16:D20)</f>
        <v>0</v>
      </c>
      <c r="E21" s="27">
        <f>SUM(E16:E20)</f>
        <v>0</v>
      </c>
      <c r="F21" s="27">
        <f>SUM(F16:F20)</f>
        <v>0</v>
      </c>
      <c r="G21" s="27">
        <f>SUM(G16:G20)</f>
        <v>0</v>
      </c>
      <c r="H21" s="48" t="e">
        <f t="shared" si="0"/>
        <v>#DIV/0!</v>
      </c>
      <c r="I21" s="27">
        <f>SUM(I16:I20)</f>
        <v>0</v>
      </c>
      <c r="J21" s="48" t="e">
        <f t="shared" si="1"/>
        <v>#DIV/0!</v>
      </c>
      <c r="K21" s="37"/>
      <c r="L21" s="54"/>
      <c r="M21" s="54"/>
      <c r="O21" s="15"/>
    </row>
    <row r="22" spans="1:15" s="1" customFormat="1" ht="14" x14ac:dyDescent="0.3">
      <c r="A22" s="118" t="s">
        <v>39</v>
      </c>
      <c r="B22" s="118"/>
      <c r="C22" s="119"/>
      <c r="D22" s="105"/>
      <c r="E22" s="106"/>
      <c r="F22" s="106"/>
      <c r="G22" s="106"/>
      <c r="H22" s="106"/>
      <c r="I22" s="106"/>
      <c r="J22" s="106"/>
      <c r="K22" s="106"/>
      <c r="L22" s="106"/>
      <c r="M22" s="107"/>
      <c r="O22" s="15"/>
    </row>
    <row r="23" spans="1:15" s="1" customFormat="1" ht="14" x14ac:dyDescent="0.3">
      <c r="A23" s="108" t="str">
        <f>+A16</f>
        <v>1. Product category</v>
      </c>
      <c r="B23" s="120"/>
      <c r="C23" s="121"/>
      <c r="D23" s="37"/>
      <c r="E23" s="37"/>
      <c r="F23" s="37"/>
      <c r="G23" s="27">
        <f t="shared" ref="G23:G28" si="2">+D23-E23</f>
        <v>0</v>
      </c>
      <c r="H23" s="48" t="e">
        <f t="shared" ref="H23:H28" si="3">+G23/E23</f>
        <v>#DIV/0!</v>
      </c>
      <c r="I23" s="28">
        <f t="shared" ref="I23:I28" si="4">+F23-D23</f>
        <v>0</v>
      </c>
      <c r="J23" s="48" t="e">
        <f t="shared" ref="J23:J28" si="5">+I23/F23</f>
        <v>#DIV/0!</v>
      </c>
      <c r="K23" s="37"/>
      <c r="L23" s="54"/>
      <c r="M23" s="54"/>
      <c r="O23" s="15"/>
    </row>
    <row r="24" spans="1:15" s="1" customFormat="1" ht="14" hidden="1" x14ac:dyDescent="0.3">
      <c r="A24" s="108" t="str">
        <f>+A17</f>
        <v>2.</v>
      </c>
      <c r="B24" s="120"/>
      <c r="C24" s="121"/>
      <c r="D24" s="37"/>
      <c r="E24" s="37"/>
      <c r="F24" s="37"/>
      <c r="G24" s="27">
        <f t="shared" si="2"/>
        <v>0</v>
      </c>
      <c r="H24" s="48" t="e">
        <f t="shared" si="3"/>
        <v>#DIV/0!</v>
      </c>
      <c r="I24" s="28">
        <f t="shared" si="4"/>
        <v>0</v>
      </c>
      <c r="J24" s="48" t="e">
        <f t="shared" si="5"/>
        <v>#DIV/0!</v>
      </c>
      <c r="K24" s="37"/>
      <c r="L24" s="54"/>
      <c r="M24" s="54"/>
      <c r="O24" s="15"/>
    </row>
    <row r="25" spans="1:15" s="1" customFormat="1" ht="14" hidden="1" x14ac:dyDescent="0.3">
      <c r="A25" s="108" t="str">
        <f>+A18</f>
        <v>3.</v>
      </c>
      <c r="B25" s="120"/>
      <c r="C25" s="121"/>
      <c r="D25" s="37"/>
      <c r="E25" s="37"/>
      <c r="F25" s="37"/>
      <c r="G25" s="27">
        <f t="shared" si="2"/>
        <v>0</v>
      </c>
      <c r="H25" s="48" t="e">
        <f t="shared" si="3"/>
        <v>#DIV/0!</v>
      </c>
      <c r="I25" s="28">
        <f t="shared" si="4"/>
        <v>0</v>
      </c>
      <c r="J25" s="48" t="e">
        <f t="shared" si="5"/>
        <v>#DIV/0!</v>
      </c>
      <c r="K25" s="37"/>
      <c r="L25" s="54"/>
      <c r="M25" s="54"/>
      <c r="O25" s="15"/>
    </row>
    <row r="26" spans="1:15" s="1" customFormat="1" ht="14" hidden="1" x14ac:dyDescent="0.3">
      <c r="A26" s="108" t="str">
        <f>+A19</f>
        <v>4.</v>
      </c>
      <c r="B26" s="120"/>
      <c r="C26" s="121"/>
      <c r="D26" s="37"/>
      <c r="E26" s="37"/>
      <c r="F26" s="37"/>
      <c r="G26" s="27">
        <f t="shared" si="2"/>
        <v>0</v>
      </c>
      <c r="H26" s="48" t="e">
        <f t="shared" si="3"/>
        <v>#DIV/0!</v>
      </c>
      <c r="I26" s="28">
        <f t="shared" si="4"/>
        <v>0</v>
      </c>
      <c r="J26" s="48" t="e">
        <f t="shared" si="5"/>
        <v>#DIV/0!</v>
      </c>
      <c r="K26" s="37"/>
      <c r="L26" s="54"/>
      <c r="M26" s="54"/>
      <c r="O26" s="15"/>
    </row>
    <row r="27" spans="1:15" s="1" customFormat="1" ht="14" hidden="1" x14ac:dyDescent="0.3">
      <c r="A27" s="108" t="str">
        <f>+A20</f>
        <v>5.</v>
      </c>
      <c r="B27" s="120"/>
      <c r="C27" s="121"/>
      <c r="D27" s="37"/>
      <c r="E27" s="37"/>
      <c r="F27" s="37"/>
      <c r="G27" s="27">
        <f t="shared" si="2"/>
        <v>0</v>
      </c>
      <c r="H27" s="48" t="e">
        <f t="shared" si="3"/>
        <v>#DIV/0!</v>
      </c>
      <c r="I27" s="28">
        <f t="shared" si="4"/>
        <v>0</v>
      </c>
      <c r="J27" s="48" t="e">
        <f t="shared" si="5"/>
        <v>#DIV/0!</v>
      </c>
      <c r="K27" s="37"/>
      <c r="L27" s="54"/>
      <c r="M27" s="54"/>
      <c r="O27" s="15"/>
    </row>
    <row r="28" spans="1:15" s="1" customFormat="1" ht="14" x14ac:dyDescent="0.3">
      <c r="A28" s="118" t="s">
        <v>40</v>
      </c>
      <c r="B28" s="118"/>
      <c r="C28" s="119"/>
      <c r="D28" s="27">
        <f>SUM(D23:D27)</f>
        <v>0</v>
      </c>
      <c r="E28" s="27">
        <f>SUM(E23:E27)</f>
        <v>0</v>
      </c>
      <c r="F28" s="27">
        <f>SUM(F23:F27)</f>
        <v>0</v>
      </c>
      <c r="G28" s="27">
        <f t="shared" si="2"/>
        <v>0</v>
      </c>
      <c r="H28" s="48" t="e">
        <f t="shared" si="3"/>
        <v>#DIV/0!</v>
      </c>
      <c r="I28" s="28">
        <f t="shared" si="4"/>
        <v>0</v>
      </c>
      <c r="J28" s="48" t="e">
        <f t="shared" si="5"/>
        <v>#DIV/0!</v>
      </c>
      <c r="K28" s="37"/>
      <c r="L28" s="54"/>
      <c r="M28" s="54"/>
      <c r="O28" s="15"/>
    </row>
    <row r="29" spans="1:15" s="1" customFormat="1" ht="14" x14ac:dyDescent="0.3">
      <c r="A29" s="118" t="s">
        <v>41</v>
      </c>
      <c r="B29" s="118"/>
      <c r="C29" s="119"/>
      <c r="D29" s="105"/>
      <c r="E29" s="106"/>
      <c r="F29" s="106"/>
      <c r="G29" s="106"/>
      <c r="H29" s="106"/>
      <c r="I29" s="106"/>
      <c r="J29" s="106"/>
      <c r="K29" s="106"/>
      <c r="L29" s="106"/>
      <c r="M29" s="107"/>
      <c r="O29" s="15"/>
    </row>
    <row r="30" spans="1:15" s="1" customFormat="1" ht="14" x14ac:dyDescent="0.3">
      <c r="A30" s="108" t="str">
        <f>+A16</f>
        <v>1. Product category</v>
      </c>
      <c r="B30" s="120"/>
      <c r="C30" s="121"/>
      <c r="D30" s="38">
        <f t="shared" ref="D30:F34" si="6">+D21-D28</f>
        <v>0</v>
      </c>
      <c r="E30" s="38">
        <f t="shared" si="6"/>
        <v>0</v>
      </c>
      <c r="F30" s="38">
        <f t="shared" si="6"/>
        <v>0</v>
      </c>
      <c r="G30" s="27">
        <f t="shared" ref="G30:G35" si="7">+D30-E30</f>
        <v>0</v>
      </c>
      <c r="H30" s="48" t="e">
        <f t="shared" ref="H30:H35" si="8">+G30/E30</f>
        <v>#DIV/0!</v>
      </c>
      <c r="I30" s="28">
        <f t="shared" ref="I30:I35" si="9">+F30-D30</f>
        <v>0</v>
      </c>
      <c r="J30" s="48" t="e">
        <f t="shared" ref="J30:J35" si="10">+I30/F30</f>
        <v>#DIV/0!</v>
      </c>
      <c r="K30" s="37"/>
      <c r="L30" s="54"/>
      <c r="M30" s="54"/>
      <c r="O30" s="15"/>
    </row>
    <row r="31" spans="1:15" s="1" customFormat="1" ht="14" hidden="1" x14ac:dyDescent="0.3">
      <c r="A31" s="108" t="str">
        <f>+A17</f>
        <v>2.</v>
      </c>
      <c r="B31" s="120"/>
      <c r="C31" s="121"/>
      <c r="D31" s="38">
        <f t="shared" si="6"/>
        <v>0</v>
      </c>
      <c r="E31" s="38">
        <f t="shared" si="6"/>
        <v>0</v>
      </c>
      <c r="F31" s="38">
        <f t="shared" si="6"/>
        <v>0</v>
      </c>
      <c r="G31" s="27">
        <f t="shared" si="7"/>
        <v>0</v>
      </c>
      <c r="H31" s="48" t="e">
        <f t="shared" si="8"/>
        <v>#DIV/0!</v>
      </c>
      <c r="I31" s="28">
        <f t="shared" si="9"/>
        <v>0</v>
      </c>
      <c r="J31" s="48" t="e">
        <f t="shared" si="10"/>
        <v>#DIV/0!</v>
      </c>
      <c r="K31" s="37"/>
      <c r="L31" s="54"/>
      <c r="M31" s="54"/>
      <c r="O31" s="15"/>
    </row>
    <row r="32" spans="1:15" s="1" customFormat="1" ht="14" hidden="1" x14ac:dyDescent="0.3">
      <c r="A32" s="108" t="str">
        <f>+A18</f>
        <v>3.</v>
      </c>
      <c r="B32" s="120"/>
      <c r="C32" s="121"/>
      <c r="D32" s="38">
        <f t="shared" si="6"/>
        <v>0</v>
      </c>
      <c r="E32" s="38">
        <f t="shared" si="6"/>
        <v>0</v>
      </c>
      <c r="F32" s="38">
        <f t="shared" si="6"/>
        <v>0</v>
      </c>
      <c r="G32" s="27">
        <f t="shared" si="7"/>
        <v>0</v>
      </c>
      <c r="H32" s="48" t="e">
        <f t="shared" si="8"/>
        <v>#DIV/0!</v>
      </c>
      <c r="I32" s="28">
        <f t="shared" si="9"/>
        <v>0</v>
      </c>
      <c r="J32" s="48" t="e">
        <f t="shared" si="10"/>
        <v>#DIV/0!</v>
      </c>
      <c r="K32" s="37"/>
      <c r="L32" s="54"/>
      <c r="M32" s="54"/>
      <c r="O32" s="15"/>
    </row>
    <row r="33" spans="1:15" s="1" customFormat="1" ht="14" hidden="1" x14ac:dyDescent="0.3">
      <c r="A33" s="108" t="str">
        <f>+A19</f>
        <v>4.</v>
      </c>
      <c r="B33" s="120"/>
      <c r="C33" s="121"/>
      <c r="D33" s="38">
        <f t="shared" si="6"/>
        <v>0</v>
      </c>
      <c r="E33" s="38">
        <f t="shared" si="6"/>
        <v>0</v>
      </c>
      <c r="F33" s="38">
        <f t="shared" si="6"/>
        <v>0</v>
      </c>
      <c r="G33" s="27">
        <f t="shared" si="7"/>
        <v>0</v>
      </c>
      <c r="H33" s="48" t="e">
        <f t="shared" si="8"/>
        <v>#DIV/0!</v>
      </c>
      <c r="I33" s="28">
        <f t="shared" si="9"/>
        <v>0</v>
      </c>
      <c r="J33" s="48" t="e">
        <f t="shared" si="10"/>
        <v>#DIV/0!</v>
      </c>
      <c r="K33" s="37"/>
      <c r="L33" s="54"/>
      <c r="M33" s="54"/>
      <c r="O33" s="15"/>
    </row>
    <row r="34" spans="1:15" s="1" customFormat="1" ht="14" hidden="1" x14ac:dyDescent="0.3">
      <c r="A34" s="108" t="str">
        <f>+A20</f>
        <v>5.</v>
      </c>
      <c r="B34" s="120"/>
      <c r="C34" s="121"/>
      <c r="D34" s="38">
        <f t="shared" si="6"/>
        <v>0</v>
      </c>
      <c r="E34" s="38">
        <f t="shared" si="6"/>
        <v>0</v>
      </c>
      <c r="F34" s="38">
        <f t="shared" si="6"/>
        <v>0</v>
      </c>
      <c r="G34" s="27">
        <f t="shared" si="7"/>
        <v>0</v>
      </c>
      <c r="H34" s="48" t="e">
        <f t="shared" si="8"/>
        <v>#DIV/0!</v>
      </c>
      <c r="I34" s="28">
        <f t="shared" si="9"/>
        <v>0</v>
      </c>
      <c r="J34" s="48" t="e">
        <f t="shared" si="10"/>
        <v>#DIV/0!</v>
      </c>
      <c r="K34" s="37"/>
      <c r="L34" s="54"/>
      <c r="M34" s="54"/>
      <c r="O34" s="15"/>
    </row>
    <row r="35" spans="1:15" s="1" customFormat="1" ht="14" x14ac:dyDescent="0.3">
      <c r="A35" s="118" t="s">
        <v>42</v>
      </c>
      <c r="B35" s="118"/>
      <c r="C35" s="119"/>
      <c r="D35" s="27">
        <f>SUM(D30:D34)</f>
        <v>0</v>
      </c>
      <c r="E35" s="27">
        <f>SUM(E30:E34)</f>
        <v>0</v>
      </c>
      <c r="F35" s="27">
        <f>SUM(F30:F34)</f>
        <v>0</v>
      </c>
      <c r="G35" s="27">
        <f t="shared" si="7"/>
        <v>0</v>
      </c>
      <c r="H35" s="48" t="e">
        <f t="shared" si="8"/>
        <v>#DIV/0!</v>
      </c>
      <c r="I35" s="28">
        <f t="shared" si="9"/>
        <v>0</v>
      </c>
      <c r="J35" s="48" t="e">
        <f t="shared" si="10"/>
        <v>#DIV/0!</v>
      </c>
      <c r="K35" s="37"/>
      <c r="L35" s="54"/>
      <c r="M35" s="54"/>
      <c r="O35" s="15"/>
    </row>
    <row r="36" spans="1:15" s="1" customFormat="1" ht="14" x14ac:dyDescent="0.3">
      <c r="A36" s="118" t="s">
        <v>43</v>
      </c>
      <c r="B36" s="118"/>
      <c r="C36" s="119"/>
      <c r="D36" s="105"/>
      <c r="E36" s="106"/>
      <c r="F36" s="106"/>
      <c r="G36" s="106"/>
      <c r="H36" s="106"/>
      <c r="I36" s="106"/>
      <c r="J36" s="106"/>
      <c r="K36" s="106"/>
      <c r="L36" s="106"/>
      <c r="M36" s="107"/>
      <c r="O36" s="15"/>
    </row>
    <row r="37" spans="1:15" s="1" customFormat="1" ht="14" x14ac:dyDescent="0.3">
      <c r="A37" s="108" t="str">
        <f>+A16</f>
        <v>1. Product category</v>
      </c>
      <c r="B37" s="120"/>
      <c r="C37" s="121"/>
      <c r="D37" s="38" t="e">
        <f t="shared" ref="D37:F42" si="11">+D30/D16</f>
        <v>#DIV/0!</v>
      </c>
      <c r="E37" s="38" t="e">
        <f t="shared" si="11"/>
        <v>#DIV/0!</v>
      </c>
      <c r="F37" s="38" t="e">
        <f t="shared" si="11"/>
        <v>#DIV/0!</v>
      </c>
      <c r="G37" s="42"/>
      <c r="H37" s="42"/>
      <c r="I37" s="43"/>
      <c r="J37" s="43"/>
      <c r="K37" s="37"/>
      <c r="L37" s="54"/>
      <c r="M37" s="54"/>
      <c r="O37" s="15"/>
    </row>
    <row r="38" spans="1:15" s="1" customFormat="1" ht="14" hidden="1" x14ac:dyDescent="0.3">
      <c r="A38" s="108" t="str">
        <f>+A17</f>
        <v>2.</v>
      </c>
      <c r="B38" s="120"/>
      <c r="C38" s="121"/>
      <c r="D38" s="38" t="e">
        <f t="shared" si="11"/>
        <v>#DIV/0!</v>
      </c>
      <c r="E38" s="38" t="e">
        <f t="shared" si="11"/>
        <v>#DIV/0!</v>
      </c>
      <c r="F38" s="38" t="e">
        <f t="shared" si="11"/>
        <v>#DIV/0!</v>
      </c>
      <c r="G38" s="42"/>
      <c r="H38" s="42"/>
      <c r="I38" s="43"/>
      <c r="J38" s="43"/>
      <c r="K38" s="37"/>
      <c r="L38" s="54"/>
      <c r="M38" s="54"/>
      <c r="O38" s="15"/>
    </row>
    <row r="39" spans="1:15" s="1" customFormat="1" ht="14" hidden="1" x14ac:dyDescent="0.3">
      <c r="A39" s="108" t="str">
        <f>+A18</f>
        <v>3.</v>
      </c>
      <c r="B39" s="120"/>
      <c r="C39" s="121"/>
      <c r="D39" s="38" t="e">
        <f t="shared" si="11"/>
        <v>#DIV/0!</v>
      </c>
      <c r="E39" s="38" t="e">
        <f t="shared" si="11"/>
        <v>#DIV/0!</v>
      </c>
      <c r="F39" s="38" t="e">
        <f t="shared" si="11"/>
        <v>#DIV/0!</v>
      </c>
      <c r="G39" s="42"/>
      <c r="H39" s="42"/>
      <c r="I39" s="43"/>
      <c r="J39" s="43"/>
      <c r="K39" s="37"/>
      <c r="L39" s="54"/>
      <c r="M39" s="54"/>
      <c r="O39" s="15"/>
    </row>
    <row r="40" spans="1:15" s="1" customFormat="1" ht="14" hidden="1" x14ac:dyDescent="0.3">
      <c r="A40" s="108" t="str">
        <f>+A19</f>
        <v>4.</v>
      </c>
      <c r="B40" s="120"/>
      <c r="C40" s="121"/>
      <c r="D40" s="38" t="e">
        <f t="shared" si="11"/>
        <v>#DIV/0!</v>
      </c>
      <c r="E40" s="38" t="e">
        <f t="shared" si="11"/>
        <v>#DIV/0!</v>
      </c>
      <c r="F40" s="38" t="e">
        <f t="shared" si="11"/>
        <v>#DIV/0!</v>
      </c>
      <c r="G40" s="42"/>
      <c r="H40" s="42"/>
      <c r="I40" s="43"/>
      <c r="J40" s="43"/>
      <c r="K40" s="37"/>
      <c r="L40" s="54"/>
      <c r="M40" s="54"/>
      <c r="O40" s="15"/>
    </row>
    <row r="41" spans="1:15" s="1" customFormat="1" ht="14" hidden="1" x14ac:dyDescent="0.3">
      <c r="A41" s="108" t="str">
        <f>+A20</f>
        <v>5.</v>
      </c>
      <c r="B41" s="120"/>
      <c r="C41" s="121"/>
      <c r="D41" s="38" t="e">
        <f t="shared" si="11"/>
        <v>#DIV/0!</v>
      </c>
      <c r="E41" s="38" t="e">
        <f t="shared" si="11"/>
        <v>#DIV/0!</v>
      </c>
      <c r="F41" s="38" t="e">
        <f t="shared" si="11"/>
        <v>#DIV/0!</v>
      </c>
      <c r="G41" s="42"/>
      <c r="H41" s="42"/>
      <c r="I41" s="43"/>
      <c r="J41" s="43"/>
      <c r="K41" s="37"/>
      <c r="L41" s="54"/>
      <c r="M41" s="54"/>
      <c r="O41" s="15"/>
    </row>
    <row r="42" spans="1:15" s="1" customFormat="1" ht="14" x14ac:dyDescent="0.3">
      <c r="A42" s="118" t="s">
        <v>44</v>
      </c>
      <c r="B42" s="118"/>
      <c r="C42" s="119"/>
      <c r="D42" s="38" t="e">
        <f t="shared" si="11"/>
        <v>#DIV/0!</v>
      </c>
      <c r="E42" s="38" t="e">
        <f t="shared" si="11"/>
        <v>#DIV/0!</v>
      </c>
      <c r="F42" s="38" t="e">
        <f t="shared" si="11"/>
        <v>#DIV/0!</v>
      </c>
      <c r="G42" s="42"/>
      <c r="H42" s="42"/>
      <c r="I42" s="43"/>
      <c r="J42" s="43"/>
      <c r="K42" s="37"/>
      <c r="L42" s="54"/>
      <c r="M42" s="54"/>
      <c r="O42" s="15"/>
    </row>
    <row r="43" spans="1:15" s="1" customFormat="1" ht="14" x14ac:dyDescent="0.3">
      <c r="A43" s="118" t="s">
        <v>45</v>
      </c>
      <c r="B43" s="118"/>
      <c r="C43" s="119"/>
      <c r="D43" s="133"/>
      <c r="E43" s="134"/>
      <c r="F43" s="134"/>
      <c r="G43" s="134"/>
      <c r="H43" s="134"/>
      <c r="I43" s="134"/>
      <c r="J43" s="134"/>
      <c r="K43" s="134"/>
      <c r="L43" s="134"/>
      <c r="M43" s="135"/>
      <c r="O43" s="15"/>
    </row>
    <row r="44" spans="1:15" s="1" customFormat="1" ht="14" x14ac:dyDescent="0.3">
      <c r="A44" s="108" t="s">
        <v>45</v>
      </c>
      <c r="B44" s="108"/>
      <c r="C44" s="109"/>
      <c r="D44" s="37"/>
      <c r="E44" s="37"/>
      <c r="F44" s="37"/>
      <c r="G44" s="27">
        <f>+D44-E44</f>
        <v>0</v>
      </c>
      <c r="H44" s="48" t="e">
        <f>+G44/E44</f>
        <v>#DIV/0!</v>
      </c>
      <c r="I44" s="28">
        <f>+F44-D44</f>
        <v>0</v>
      </c>
      <c r="J44" s="48" t="e">
        <f>+I44/F44</f>
        <v>#DIV/0!</v>
      </c>
      <c r="K44" s="37"/>
      <c r="L44" s="54"/>
      <c r="M44" s="54"/>
      <c r="O44" s="15"/>
    </row>
    <row r="45" spans="1:15" s="1" customFormat="1" ht="14" x14ac:dyDescent="0.3">
      <c r="A45" s="108" t="s">
        <v>45</v>
      </c>
      <c r="B45" s="108"/>
      <c r="C45" s="109"/>
      <c r="D45" s="37"/>
      <c r="E45" s="37"/>
      <c r="F45" s="37"/>
      <c r="G45" s="27">
        <f t="shared" ref="G45" si="12">+D45-E45</f>
        <v>0</v>
      </c>
      <c r="H45" s="48" t="e">
        <f t="shared" ref="H45:H46" si="13">+G45/E45</f>
        <v>#DIV/0!</v>
      </c>
      <c r="I45" s="28">
        <f t="shared" ref="I45" si="14">+F45-D45</f>
        <v>0</v>
      </c>
      <c r="J45" s="48" t="e">
        <f t="shared" ref="J45:J46" si="15">+I45/F45</f>
        <v>#DIV/0!</v>
      </c>
      <c r="K45" s="37"/>
      <c r="L45" s="54"/>
      <c r="M45" s="54"/>
      <c r="O45" s="15"/>
    </row>
    <row r="46" spans="1:15" s="1" customFormat="1" ht="14" x14ac:dyDescent="0.3">
      <c r="A46" s="118" t="s">
        <v>46</v>
      </c>
      <c r="B46" s="118"/>
      <c r="C46" s="119"/>
      <c r="D46" s="38">
        <f>SUM(D44:D45)</f>
        <v>0</v>
      </c>
      <c r="E46" s="38">
        <f t="shared" ref="E46:I46" si="16">SUM(E44:E45)</f>
        <v>0</v>
      </c>
      <c r="F46" s="38">
        <f t="shared" si="16"/>
        <v>0</v>
      </c>
      <c r="G46" s="38">
        <f t="shared" si="16"/>
        <v>0</v>
      </c>
      <c r="H46" s="48" t="e">
        <f t="shared" si="13"/>
        <v>#DIV/0!</v>
      </c>
      <c r="I46" s="38">
        <f t="shared" si="16"/>
        <v>0</v>
      </c>
      <c r="J46" s="48" t="e">
        <f t="shared" si="15"/>
        <v>#DIV/0!</v>
      </c>
      <c r="K46" s="37"/>
      <c r="L46" s="54"/>
      <c r="M46" s="54"/>
      <c r="O46" s="15"/>
    </row>
    <row r="47" spans="1:15" s="1" customFormat="1" ht="14" x14ac:dyDescent="0.3">
      <c r="A47" s="118" t="s">
        <v>47</v>
      </c>
      <c r="B47" s="118"/>
      <c r="C47" s="119"/>
      <c r="D47" s="133"/>
      <c r="E47" s="134"/>
      <c r="F47" s="134"/>
      <c r="G47" s="134"/>
      <c r="H47" s="134"/>
      <c r="I47" s="134"/>
      <c r="J47" s="134"/>
      <c r="K47" s="134"/>
      <c r="L47" s="134"/>
      <c r="M47" s="135"/>
      <c r="O47" s="15"/>
    </row>
    <row r="48" spans="1:15" s="1" customFormat="1" ht="14" x14ac:dyDescent="0.3">
      <c r="A48" s="108" t="s">
        <v>48</v>
      </c>
      <c r="B48" s="108"/>
      <c r="C48" s="109"/>
      <c r="D48" s="37"/>
      <c r="E48" s="37"/>
      <c r="F48" s="37"/>
      <c r="G48" s="27">
        <f>+D48-E48</f>
        <v>0</v>
      </c>
      <c r="H48" s="48" t="e">
        <f>+G48/E48</f>
        <v>#DIV/0!</v>
      </c>
      <c r="I48" s="28">
        <f>+F48-D48</f>
        <v>0</v>
      </c>
      <c r="J48" s="48" t="e">
        <f>+I48/F48</f>
        <v>#DIV/0!</v>
      </c>
      <c r="K48" s="37"/>
      <c r="L48" s="54"/>
      <c r="M48" s="54"/>
      <c r="O48" s="15"/>
    </row>
    <row r="49" spans="1:15" s="1" customFormat="1" ht="14" x14ac:dyDescent="0.3">
      <c r="A49" s="108" t="s">
        <v>49</v>
      </c>
      <c r="B49" s="108"/>
      <c r="C49" s="109"/>
      <c r="D49" s="37"/>
      <c r="E49" s="37"/>
      <c r="F49" s="37"/>
      <c r="G49" s="27">
        <f t="shared" ref="G49:G60" si="17">+D49-E49</f>
        <v>0</v>
      </c>
      <c r="H49" s="48" t="e">
        <f t="shared" ref="H49:H59" si="18">+G49/E49</f>
        <v>#DIV/0!</v>
      </c>
      <c r="I49" s="28">
        <f t="shared" ref="I49:I57" si="19">+F49-D49</f>
        <v>0</v>
      </c>
      <c r="J49" s="48" t="e">
        <f t="shared" ref="J49:J59" si="20">+I49/F49</f>
        <v>#DIV/0!</v>
      </c>
      <c r="K49" s="37"/>
      <c r="L49" s="54"/>
      <c r="M49" s="54"/>
      <c r="O49" s="15"/>
    </row>
    <row r="50" spans="1:15" s="1" customFormat="1" ht="14" x14ac:dyDescent="0.3">
      <c r="A50" s="108" t="s">
        <v>50</v>
      </c>
      <c r="B50" s="108"/>
      <c r="C50" s="109"/>
      <c r="D50" s="37"/>
      <c r="E50" s="37"/>
      <c r="F50" s="37"/>
      <c r="G50" s="27">
        <f t="shared" si="17"/>
        <v>0</v>
      </c>
      <c r="H50" s="48" t="e">
        <f t="shared" si="18"/>
        <v>#DIV/0!</v>
      </c>
      <c r="I50" s="28">
        <f t="shared" si="19"/>
        <v>0</v>
      </c>
      <c r="J50" s="48" t="e">
        <f t="shared" si="20"/>
        <v>#DIV/0!</v>
      </c>
      <c r="K50" s="37"/>
      <c r="L50" s="54"/>
      <c r="M50" s="54"/>
      <c r="O50" s="15"/>
    </row>
    <row r="51" spans="1:15" s="1" customFormat="1" ht="14" x14ac:dyDescent="0.3">
      <c r="A51" s="108" t="s">
        <v>51</v>
      </c>
      <c r="B51" s="108"/>
      <c r="C51" s="109"/>
      <c r="D51" s="37"/>
      <c r="E51" s="37"/>
      <c r="F51" s="37"/>
      <c r="G51" s="27">
        <f t="shared" si="17"/>
        <v>0</v>
      </c>
      <c r="H51" s="48" t="e">
        <f t="shared" si="18"/>
        <v>#DIV/0!</v>
      </c>
      <c r="I51" s="28">
        <f t="shared" si="19"/>
        <v>0</v>
      </c>
      <c r="J51" s="48" t="e">
        <f t="shared" si="20"/>
        <v>#DIV/0!</v>
      </c>
      <c r="K51" s="37"/>
      <c r="L51" s="54"/>
      <c r="M51" s="54"/>
      <c r="O51" s="15"/>
    </row>
    <row r="52" spans="1:15" s="1" customFormat="1" ht="14" x14ac:dyDescent="0.3">
      <c r="A52" s="108" t="s">
        <v>52</v>
      </c>
      <c r="B52" s="108"/>
      <c r="C52" s="109"/>
      <c r="D52" s="37"/>
      <c r="E52" s="37"/>
      <c r="F52" s="37"/>
      <c r="G52" s="27">
        <f t="shared" si="17"/>
        <v>0</v>
      </c>
      <c r="H52" s="48" t="e">
        <f t="shared" si="18"/>
        <v>#DIV/0!</v>
      </c>
      <c r="I52" s="28">
        <f t="shared" si="19"/>
        <v>0</v>
      </c>
      <c r="J52" s="48" t="e">
        <f t="shared" si="20"/>
        <v>#DIV/0!</v>
      </c>
      <c r="K52" s="37"/>
      <c r="L52" s="54"/>
      <c r="M52" s="54"/>
      <c r="O52" s="15"/>
    </row>
    <row r="53" spans="1:15" s="1" customFormat="1" ht="14" x14ac:dyDescent="0.3">
      <c r="A53" s="108" t="s">
        <v>53</v>
      </c>
      <c r="B53" s="108"/>
      <c r="C53" s="109"/>
      <c r="D53" s="37"/>
      <c r="E53" s="37"/>
      <c r="F53" s="37"/>
      <c r="G53" s="27">
        <f t="shared" si="17"/>
        <v>0</v>
      </c>
      <c r="H53" s="48" t="e">
        <f t="shared" si="18"/>
        <v>#DIV/0!</v>
      </c>
      <c r="I53" s="28">
        <f t="shared" si="19"/>
        <v>0</v>
      </c>
      <c r="J53" s="48" t="e">
        <f t="shared" si="20"/>
        <v>#DIV/0!</v>
      </c>
      <c r="K53" s="37"/>
      <c r="L53" s="54"/>
      <c r="M53" s="54"/>
      <c r="O53" s="15"/>
    </row>
    <row r="54" spans="1:15" s="1" customFormat="1" ht="14" x14ac:dyDescent="0.3">
      <c r="A54" s="108" t="s">
        <v>54</v>
      </c>
      <c r="B54" s="108"/>
      <c r="C54" s="109"/>
      <c r="D54" s="37"/>
      <c r="E54" s="37"/>
      <c r="F54" s="37"/>
      <c r="G54" s="27">
        <f t="shared" si="17"/>
        <v>0</v>
      </c>
      <c r="H54" s="48" t="e">
        <f t="shared" si="18"/>
        <v>#DIV/0!</v>
      </c>
      <c r="I54" s="28">
        <f t="shared" si="19"/>
        <v>0</v>
      </c>
      <c r="J54" s="48" t="e">
        <f t="shared" si="20"/>
        <v>#DIV/0!</v>
      </c>
      <c r="K54" s="37"/>
      <c r="L54" s="54"/>
      <c r="M54" s="54"/>
      <c r="O54" s="15"/>
    </row>
    <row r="55" spans="1:15" s="1" customFormat="1" ht="14" x14ac:dyDescent="0.3">
      <c r="A55" s="108" t="s">
        <v>55</v>
      </c>
      <c r="B55" s="108"/>
      <c r="C55" s="109"/>
      <c r="D55" s="37"/>
      <c r="E55" s="37"/>
      <c r="F55" s="37"/>
      <c r="G55" s="27">
        <f t="shared" si="17"/>
        <v>0</v>
      </c>
      <c r="H55" s="48" t="e">
        <f t="shared" si="18"/>
        <v>#DIV/0!</v>
      </c>
      <c r="I55" s="28">
        <f t="shared" si="19"/>
        <v>0</v>
      </c>
      <c r="J55" s="48" t="e">
        <f t="shared" si="20"/>
        <v>#DIV/0!</v>
      </c>
      <c r="K55" s="37"/>
      <c r="L55" s="54"/>
      <c r="M55" s="54"/>
      <c r="O55" s="15"/>
    </row>
    <row r="56" spans="1:15" s="1" customFormat="1" ht="14" x14ac:dyDescent="0.3">
      <c r="A56" s="108" t="s">
        <v>55</v>
      </c>
      <c r="B56" s="108"/>
      <c r="C56" s="109"/>
      <c r="D56" s="37"/>
      <c r="E56" s="37"/>
      <c r="F56" s="37"/>
      <c r="G56" s="27">
        <f t="shared" si="17"/>
        <v>0</v>
      </c>
      <c r="H56" s="48" t="e">
        <f t="shared" si="18"/>
        <v>#DIV/0!</v>
      </c>
      <c r="I56" s="28">
        <f t="shared" si="19"/>
        <v>0</v>
      </c>
      <c r="J56" s="48" t="e">
        <f t="shared" si="20"/>
        <v>#DIV/0!</v>
      </c>
      <c r="K56" s="37"/>
      <c r="L56" s="54"/>
      <c r="M56" s="54"/>
      <c r="O56" s="15"/>
    </row>
    <row r="57" spans="1:15" s="1" customFormat="1" ht="14" x14ac:dyDescent="0.3">
      <c r="A57" s="108" t="s">
        <v>55</v>
      </c>
      <c r="B57" s="108"/>
      <c r="C57" s="109"/>
      <c r="D57" s="37"/>
      <c r="E57" s="37"/>
      <c r="F57" s="37"/>
      <c r="G57" s="27">
        <f t="shared" si="17"/>
        <v>0</v>
      </c>
      <c r="H57" s="48" t="e">
        <f t="shared" si="18"/>
        <v>#DIV/0!</v>
      </c>
      <c r="I57" s="28">
        <f t="shared" si="19"/>
        <v>0</v>
      </c>
      <c r="J57" s="48" t="e">
        <f t="shared" si="20"/>
        <v>#DIV/0!</v>
      </c>
      <c r="K57" s="37"/>
      <c r="L57" s="54"/>
      <c r="M57" s="54"/>
      <c r="O57" s="15"/>
    </row>
    <row r="58" spans="1:15" s="1" customFormat="1" ht="14" x14ac:dyDescent="0.3">
      <c r="A58" s="118" t="s">
        <v>56</v>
      </c>
      <c r="B58" s="118"/>
      <c r="C58" s="119"/>
      <c r="D58" s="38">
        <f>SUM(D48:D57)</f>
        <v>0</v>
      </c>
      <c r="E58" s="38">
        <f>SUM(E48:E57)</f>
        <v>0</v>
      </c>
      <c r="F58" s="38">
        <f>SUM(F48:F57)</f>
        <v>0</v>
      </c>
      <c r="G58" s="38">
        <f>SUM(G48:G57)</f>
        <v>0</v>
      </c>
      <c r="H58" s="48" t="e">
        <f t="shared" si="18"/>
        <v>#DIV/0!</v>
      </c>
      <c r="I58" s="38">
        <f>SUM(I48:I57)</f>
        <v>0</v>
      </c>
      <c r="J58" s="48" t="e">
        <f t="shared" si="20"/>
        <v>#DIV/0!</v>
      </c>
      <c r="K58" s="37"/>
      <c r="L58" s="54"/>
      <c r="M58" s="54"/>
      <c r="O58" s="15"/>
    </row>
    <row r="59" spans="1:15" s="1" customFormat="1" ht="28" x14ac:dyDescent="0.3">
      <c r="A59" s="127" t="s">
        <v>57</v>
      </c>
      <c r="B59" s="127"/>
      <c r="C59" s="71"/>
      <c r="D59" s="27">
        <f>+D35+D46-D58</f>
        <v>0</v>
      </c>
      <c r="E59" s="27">
        <f>+E35+E46-E58</f>
        <v>0</v>
      </c>
      <c r="F59" s="27">
        <f>+F35+F46-F58</f>
        <v>0</v>
      </c>
      <c r="G59" s="27">
        <f>+G35+G46-G58</f>
        <v>0</v>
      </c>
      <c r="H59" s="48" t="e">
        <f t="shared" si="18"/>
        <v>#DIV/0!</v>
      </c>
      <c r="I59" s="27">
        <f>+I35+I46-I58</f>
        <v>0</v>
      </c>
      <c r="J59" s="48" t="e">
        <f t="shared" si="20"/>
        <v>#DIV/0!</v>
      </c>
      <c r="K59" s="37"/>
      <c r="L59" s="54"/>
      <c r="M59" s="54"/>
      <c r="O59" s="40" t="s">
        <v>7</v>
      </c>
    </row>
    <row r="60" spans="1:15" s="1" customFormat="1" ht="14" x14ac:dyDescent="0.3">
      <c r="A60" s="127" t="s">
        <v>58</v>
      </c>
      <c r="B60" s="127"/>
      <c r="C60" s="71"/>
      <c r="D60" s="27" t="e">
        <f>+D59/D21</f>
        <v>#DIV/0!</v>
      </c>
      <c r="E60" s="27" t="e">
        <f>+E59/E21</f>
        <v>#DIV/0!</v>
      </c>
      <c r="F60" s="27" t="e">
        <f>+F59/F21</f>
        <v>#DIV/0!</v>
      </c>
      <c r="G60" s="27" t="e">
        <f t="shared" si="17"/>
        <v>#DIV/0!</v>
      </c>
      <c r="H60" s="48"/>
      <c r="I60" s="27" t="e">
        <f>+I59/I21</f>
        <v>#DIV/0!</v>
      </c>
      <c r="J60" s="48"/>
      <c r="K60" s="37"/>
      <c r="L60" s="54"/>
      <c r="M60" s="54"/>
      <c r="O60" s="15"/>
    </row>
    <row r="61" spans="1:15" s="1" customFormat="1" ht="14" x14ac:dyDescent="0.3">
      <c r="A61" s="71"/>
      <c r="B61" s="71"/>
      <c r="C61" s="71"/>
      <c r="D61" s="26"/>
      <c r="E61" s="26"/>
      <c r="F61" s="26"/>
      <c r="G61" s="26"/>
      <c r="H61" s="26"/>
      <c r="I61" s="36"/>
      <c r="J61" s="36"/>
      <c r="K61" s="36"/>
      <c r="L61" s="9"/>
      <c r="M61" s="12"/>
      <c r="O61" s="15"/>
    </row>
    <row r="62" spans="1:15" s="1" customFormat="1" ht="42" x14ac:dyDescent="0.3">
      <c r="A62" s="35"/>
      <c r="B62" s="35"/>
      <c r="C62" s="35"/>
      <c r="D62" s="112" t="s">
        <v>24</v>
      </c>
      <c r="E62" s="111" t="s">
        <v>25</v>
      </c>
      <c r="F62" s="111" t="s">
        <v>26</v>
      </c>
      <c r="G62" s="128" t="s">
        <v>27</v>
      </c>
      <c r="H62" s="129"/>
      <c r="I62" s="128" t="s">
        <v>28</v>
      </c>
      <c r="J62" s="129"/>
      <c r="K62" s="116" t="s">
        <v>29</v>
      </c>
      <c r="L62" s="114" t="s">
        <v>30</v>
      </c>
      <c r="M62" s="111" t="s">
        <v>134</v>
      </c>
      <c r="O62" s="40" t="s">
        <v>5</v>
      </c>
    </row>
    <row r="63" spans="1:15" s="1" customFormat="1" ht="25.5" customHeight="1" x14ac:dyDescent="0.3">
      <c r="A63" s="112" t="s">
        <v>59</v>
      </c>
      <c r="B63" s="116"/>
      <c r="C63" s="70"/>
      <c r="D63" s="113"/>
      <c r="E63" s="94"/>
      <c r="F63" s="94"/>
      <c r="G63" s="22" t="s">
        <v>31</v>
      </c>
      <c r="H63" s="24" t="s">
        <v>32</v>
      </c>
      <c r="I63" s="25" t="s">
        <v>31</v>
      </c>
      <c r="J63" s="22" t="s">
        <v>32</v>
      </c>
      <c r="K63" s="117"/>
      <c r="L63" s="115"/>
      <c r="M63" s="94"/>
      <c r="O63" s="15"/>
    </row>
    <row r="64" spans="1:15" s="1" customFormat="1" ht="14" x14ac:dyDescent="0.3">
      <c r="A64" s="118" t="s">
        <v>60</v>
      </c>
      <c r="B64" s="118"/>
      <c r="C64" s="119"/>
      <c r="D64" s="105"/>
      <c r="E64" s="106"/>
      <c r="F64" s="106"/>
      <c r="G64" s="106"/>
      <c r="H64" s="106"/>
      <c r="I64" s="106"/>
      <c r="J64" s="106"/>
      <c r="K64" s="106"/>
      <c r="L64" s="106"/>
      <c r="M64" s="107"/>
      <c r="O64" s="15"/>
    </row>
    <row r="65" spans="1:15" s="1" customFormat="1" ht="14" x14ac:dyDescent="0.3">
      <c r="A65" s="118" t="s">
        <v>123</v>
      </c>
      <c r="B65" s="118"/>
      <c r="C65" s="119"/>
      <c r="D65" s="105"/>
      <c r="E65" s="106"/>
      <c r="F65" s="106"/>
      <c r="G65" s="106"/>
      <c r="H65" s="106"/>
      <c r="I65" s="106"/>
      <c r="J65" s="106"/>
      <c r="K65" s="106"/>
      <c r="L65" s="106"/>
      <c r="M65" s="107"/>
      <c r="O65" s="15"/>
    </row>
    <row r="66" spans="1:15" s="1" customFormat="1" ht="14" x14ac:dyDescent="0.3">
      <c r="A66" s="108" t="s">
        <v>61</v>
      </c>
      <c r="B66" s="108"/>
      <c r="C66" s="109"/>
      <c r="D66" s="37"/>
      <c r="E66" s="37"/>
      <c r="F66" s="37"/>
      <c r="G66" s="27">
        <f t="shared" ref="G66:G71" si="21">+D66-E66</f>
        <v>0</v>
      </c>
      <c r="H66" s="48" t="e">
        <f>+G66/E66</f>
        <v>#DIV/0!</v>
      </c>
      <c r="I66" s="28">
        <f t="shared" ref="I66:I71" si="22">+F66-D66</f>
        <v>0</v>
      </c>
      <c r="J66" s="48" t="e">
        <f>+I66/F66</f>
        <v>#DIV/0!</v>
      </c>
      <c r="K66" s="37"/>
      <c r="L66" s="54"/>
      <c r="M66" s="54"/>
      <c r="O66" s="15"/>
    </row>
    <row r="67" spans="1:15" s="1" customFormat="1" ht="14" x14ac:dyDescent="0.3">
      <c r="A67" s="108" t="s">
        <v>62</v>
      </c>
      <c r="B67" s="108"/>
      <c r="C67" s="109"/>
      <c r="D67" s="37"/>
      <c r="E67" s="37"/>
      <c r="F67" s="37"/>
      <c r="G67" s="27">
        <f t="shared" si="21"/>
        <v>0</v>
      </c>
      <c r="H67" s="48" t="e">
        <f t="shared" ref="H67:H72" si="23">+G67/E67</f>
        <v>#DIV/0!</v>
      </c>
      <c r="I67" s="28">
        <f t="shared" si="22"/>
        <v>0</v>
      </c>
      <c r="J67" s="48" t="e">
        <f t="shared" ref="J67:J72" si="24">+I67/F67</f>
        <v>#DIV/0!</v>
      </c>
      <c r="K67" s="37"/>
      <c r="L67" s="54"/>
      <c r="M67" s="54"/>
      <c r="O67" s="15"/>
    </row>
    <row r="68" spans="1:15" s="1" customFormat="1" ht="14" x14ac:dyDescent="0.3">
      <c r="A68" s="108" t="s">
        <v>63</v>
      </c>
      <c r="B68" s="108"/>
      <c r="C68" s="109"/>
      <c r="D68" s="37"/>
      <c r="E68" s="37"/>
      <c r="F68" s="37"/>
      <c r="G68" s="27">
        <f t="shared" si="21"/>
        <v>0</v>
      </c>
      <c r="H68" s="48" t="e">
        <f t="shared" si="23"/>
        <v>#DIV/0!</v>
      </c>
      <c r="I68" s="28">
        <f t="shared" si="22"/>
        <v>0</v>
      </c>
      <c r="J68" s="48" t="e">
        <f t="shared" si="24"/>
        <v>#DIV/0!</v>
      </c>
      <c r="K68" s="37"/>
      <c r="L68" s="54"/>
      <c r="M68" s="54"/>
      <c r="O68" s="15"/>
    </row>
    <row r="69" spans="1:15" s="1" customFormat="1" ht="14" x14ac:dyDescent="0.3">
      <c r="A69" s="108" t="s">
        <v>64</v>
      </c>
      <c r="B69" s="108"/>
      <c r="C69" s="109"/>
      <c r="D69" s="37"/>
      <c r="E69" s="37"/>
      <c r="F69" s="37"/>
      <c r="G69" s="27">
        <f t="shared" si="21"/>
        <v>0</v>
      </c>
      <c r="H69" s="48" t="e">
        <f t="shared" si="23"/>
        <v>#DIV/0!</v>
      </c>
      <c r="I69" s="28">
        <f t="shared" si="22"/>
        <v>0</v>
      </c>
      <c r="J69" s="48" t="e">
        <f t="shared" si="24"/>
        <v>#DIV/0!</v>
      </c>
      <c r="K69" s="37"/>
      <c r="L69" s="54"/>
      <c r="M69" s="54"/>
      <c r="O69" s="15"/>
    </row>
    <row r="70" spans="1:15" s="1" customFormat="1" ht="14" x14ac:dyDescent="0.3">
      <c r="A70" s="108" t="s">
        <v>65</v>
      </c>
      <c r="B70" s="108"/>
      <c r="C70" s="109"/>
      <c r="D70" s="37"/>
      <c r="E70" s="37"/>
      <c r="F70" s="37"/>
      <c r="G70" s="27">
        <f t="shared" si="21"/>
        <v>0</v>
      </c>
      <c r="H70" s="48" t="e">
        <f t="shared" si="23"/>
        <v>#DIV/0!</v>
      </c>
      <c r="I70" s="28">
        <f t="shared" si="22"/>
        <v>0</v>
      </c>
      <c r="J70" s="48" t="e">
        <f t="shared" si="24"/>
        <v>#DIV/0!</v>
      </c>
      <c r="K70" s="37"/>
      <c r="L70" s="54"/>
      <c r="M70" s="54"/>
      <c r="O70" s="15"/>
    </row>
    <row r="71" spans="1:15" s="1" customFormat="1" ht="14" x14ac:dyDescent="0.3">
      <c r="A71" s="108" t="s">
        <v>65</v>
      </c>
      <c r="B71" s="108"/>
      <c r="C71" s="109"/>
      <c r="D71" s="37"/>
      <c r="E71" s="37"/>
      <c r="F71" s="37"/>
      <c r="G71" s="27">
        <f t="shared" si="21"/>
        <v>0</v>
      </c>
      <c r="H71" s="48" t="e">
        <f t="shared" si="23"/>
        <v>#DIV/0!</v>
      </c>
      <c r="I71" s="28">
        <f t="shared" si="22"/>
        <v>0</v>
      </c>
      <c r="J71" s="48" t="e">
        <f t="shared" si="24"/>
        <v>#DIV/0!</v>
      </c>
      <c r="K71" s="37"/>
      <c r="L71" s="54"/>
      <c r="M71" s="54"/>
      <c r="O71" s="15"/>
    </row>
    <row r="72" spans="1:15" s="1" customFormat="1" ht="14" x14ac:dyDescent="0.3">
      <c r="A72" s="118" t="s">
        <v>124</v>
      </c>
      <c r="B72" s="118"/>
      <c r="C72" s="119"/>
      <c r="D72" s="27">
        <f>SUM(D66:D71)</f>
        <v>0</v>
      </c>
      <c r="E72" s="27">
        <f>SUM(E66:E71)</f>
        <v>0</v>
      </c>
      <c r="F72" s="27">
        <f>SUM(F66:F71)</f>
        <v>0</v>
      </c>
      <c r="G72" s="27">
        <f>SUM(G66:G71)</f>
        <v>0</v>
      </c>
      <c r="H72" s="48" t="e">
        <f t="shared" si="23"/>
        <v>#DIV/0!</v>
      </c>
      <c r="I72" s="27">
        <f>SUM(I66:I71)</f>
        <v>0</v>
      </c>
      <c r="J72" s="48" t="e">
        <f t="shared" si="24"/>
        <v>#DIV/0!</v>
      </c>
      <c r="K72" s="37"/>
      <c r="L72" s="54"/>
      <c r="M72" s="54"/>
      <c r="O72" s="15"/>
    </row>
    <row r="73" spans="1:15" s="1" customFormat="1" ht="14" x14ac:dyDescent="0.3">
      <c r="A73" s="118" t="s">
        <v>125</v>
      </c>
      <c r="B73" s="118"/>
      <c r="C73" s="119"/>
      <c r="D73" s="105"/>
      <c r="E73" s="106"/>
      <c r="F73" s="106"/>
      <c r="G73" s="106"/>
      <c r="H73" s="106"/>
      <c r="I73" s="106"/>
      <c r="J73" s="106"/>
      <c r="K73" s="106"/>
      <c r="L73" s="106"/>
      <c r="M73" s="107"/>
      <c r="O73" s="15"/>
    </row>
    <row r="74" spans="1:15" s="1" customFormat="1" ht="14" x14ac:dyDescent="0.3">
      <c r="A74" s="108" t="s">
        <v>66</v>
      </c>
      <c r="B74" s="108"/>
      <c r="C74" s="109"/>
      <c r="D74" s="37"/>
      <c r="E74" s="37"/>
      <c r="F74" s="37"/>
      <c r="G74" s="27">
        <f>+D74-E74</f>
        <v>0</v>
      </c>
      <c r="H74" s="48" t="e">
        <f t="shared" ref="H74:H79" si="25">+G74/E74</f>
        <v>#DIV/0!</v>
      </c>
      <c r="I74" s="28">
        <f>+F74-D74</f>
        <v>0</v>
      </c>
      <c r="J74" s="48" t="e">
        <f t="shared" ref="J74:J79" si="26">+I74/F74</f>
        <v>#DIV/0!</v>
      </c>
      <c r="K74" s="37"/>
      <c r="L74" s="54"/>
      <c r="M74" s="54"/>
      <c r="O74" s="15"/>
    </row>
    <row r="75" spans="1:15" s="1" customFormat="1" ht="14" x14ac:dyDescent="0.3">
      <c r="A75" s="108" t="s">
        <v>65</v>
      </c>
      <c r="B75" s="108"/>
      <c r="C75" s="109"/>
      <c r="D75" s="37"/>
      <c r="E75" s="37"/>
      <c r="F75" s="37"/>
      <c r="G75" s="27">
        <f>+D75-E75</f>
        <v>0</v>
      </c>
      <c r="H75" s="48" t="e">
        <f t="shared" si="25"/>
        <v>#DIV/0!</v>
      </c>
      <c r="I75" s="28">
        <f>+F75-D75</f>
        <v>0</v>
      </c>
      <c r="J75" s="48" t="e">
        <f t="shared" si="26"/>
        <v>#DIV/0!</v>
      </c>
      <c r="K75" s="37"/>
      <c r="L75" s="54"/>
      <c r="M75" s="54"/>
      <c r="O75" s="15"/>
    </row>
    <row r="76" spans="1:15" s="1" customFormat="1" ht="14" x14ac:dyDescent="0.3">
      <c r="A76" s="108" t="s">
        <v>65</v>
      </c>
      <c r="B76" s="108"/>
      <c r="C76" s="109"/>
      <c r="D76" s="37"/>
      <c r="E76" s="37"/>
      <c r="F76" s="37"/>
      <c r="G76" s="27">
        <f>+D76-E76</f>
        <v>0</v>
      </c>
      <c r="H76" s="48" t="e">
        <f t="shared" si="25"/>
        <v>#DIV/0!</v>
      </c>
      <c r="I76" s="28">
        <f>+F76-D76</f>
        <v>0</v>
      </c>
      <c r="J76" s="48" t="e">
        <f t="shared" si="26"/>
        <v>#DIV/0!</v>
      </c>
      <c r="K76" s="37"/>
      <c r="L76" s="54"/>
      <c r="M76" s="54"/>
      <c r="O76" s="40"/>
    </row>
    <row r="77" spans="1:15" s="1" customFormat="1" ht="14" x14ac:dyDescent="0.3">
      <c r="A77" s="108" t="s">
        <v>65</v>
      </c>
      <c r="B77" s="108"/>
      <c r="C77" s="109"/>
      <c r="D77" s="37"/>
      <c r="E77" s="37"/>
      <c r="F77" s="37"/>
      <c r="G77" s="27">
        <f>+D77-E77</f>
        <v>0</v>
      </c>
      <c r="H77" s="48" t="e">
        <f t="shared" si="25"/>
        <v>#DIV/0!</v>
      </c>
      <c r="I77" s="28">
        <f>+F77-D77</f>
        <v>0</v>
      </c>
      <c r="J77" s="48" t="e">
        <f t="shared" si="26"/>
        <v>#DIV/0!</v>
      </c>
      <c r="K77" s="37"/>
      <c r="L77" s="54"/>
      <c r="M77" s="54"/>
      <c r="O77" s="15"/>
    </row>
    <row r="78" spans="1:15" s="1" customFormat="1" ht="14" x14ac:dyDescent="0.3">
      <c r="A78" s="118" t="s">
        <v>126</v>
      </c>
      <c r="B78" s="118"/>
      <c r="C78" s="119"/>
      <c r="D78" s="27">
        <f>SUM(D72:D77)</f>
        <v>0</v>
      </c>
      <c r="E78" s="27">
        <f>SUM(E72:E77)</f>
        <v>0</v>
      </c>
      <c r="F78" s="27">
        <f>SUM(F72:F77)</f>
        <v>0</v>
      </c>
      <c r="G78" s="27">
        <f>SUM(G72:G77)</f>
        <v>0</v>
      </c>
      <c r="H78" s="48" t="e">
        <f t="shared" si="25"/>
        <v>#DIV/0!</v>
      </c>
      <c r="I78" s="27">
        <f>SUM(I72:I77)</f>
        <v>0</v>
      </c>
      <c r="J78" s="48" t="e">
        <f t="shared" si="26"/>
        <v>#DIV/0!</v>
      </c>
      <c r="K78" s="37"/>
      <c r="L78" s="54"/>
      <c r="M78" s="54"/>
      <c r="O78" s="15"/>
    </row>
    <row r="79" spans="1:15" s="1" customFormat="1" ht="14" x14ac:dyDescent="0.3">
      <c r="A79" s="127" t="s">
        <v>127</v>
      </c>
      <c r="B79" s="127"/>
      <c r="C79" s="71"/>
      <c r="D79" s="27">
        <f>+D72+D78</f>
        <v>0</v>
      </c>
      <c r="E79" s="27">
        <f>+E72+E78</f>
        <v>0</v>
      </c>
      <c r="F79" s="27">
        <f>+F72+F78</f>
        <v>0</v>
      </c>
      <c r="G79" s="27">
        <f>+G72+G78</f>
        <v>0</v>
      </c>
      <c r="H79" s="48" t="e">
        <f t="shared" si="25"/>
        <v>#DIV/0!</v>
      </c>
      <c r="I79" s="27">
        <f>+I72+I78</f>
        <v>0</v>
      </c>
      <c r="J79" s="48" t="e">
        <f t="shared" si="26"/>
        <v>#DIV/0!</v>
      </c>
      <c r="K79" s="37"/>
      <c r="L79" s="54"/>
      <c r="M79" s="54"/>
      <c r="O79" s="15"/>
    </row>
    <row r="80" spans="1:15" s="1" customFormat="1" ht="14" x14ac:dyDescent="0.3">
      <c r="A80" s="118" t="s">
        <v>67</v>
      </c>
      <c r="B80" s="118"/>
      <c r="C80" s="119"/>
      <c r="D80" s="130"/>
      <c r="E80" s="131"/>
      <c r="F80" s="131"/>
      <c r="G80" s="131"/>
      <c r="H80" s="131"/>
      <c r="I80" s="131"/>
      <c r="J80" s="131"/>
      <c r="K80" s="131"/>
      <c r="L80" s="131"/>
      <c r="M80" s="132"/>
      <c r="O80" s="15"/>
    </row>
    <row r="81" spans="1:15" s="1" customFormat="1" ht="14" x14ac:dyDescent="0.3">
      <c r="A81" s="118" t="s">
        <v>128</v>
      </c>
      <c r="B81" s="118"/>
      <c r="C81" s="119"/>
      <c r="D81" s="133"/>
      <c r="E81" s="134"/>
      <c r="F81" s="134"/>
      <c r="G81" s="134"/>
      <c r="H81" s="134"/>
      <c r="I81" s="134"/>
      <c r="J81" s="134"/>
      <c r="K81" s="134"/>
      <c r="L81" s="134"/>
      <c r="M81" s="135"/>
      <c r="O81" s="15"/>
    </row>
    <row r="82" spans="1:15" s="1" customFormat="1" ht="14" x14ac:dyDescent="0.3">
      <c r="A82" s="108" t="s">
        <v>68</v>
      </c>
      <c r="B82" s="108"/>
      <c r="C82" s="109"/>
      <c r="D82" s="37"/>
      <c r="E82" s="37"/>
      <c r="F82" s="37"/>
      <c r="G82" s="27">
        <f>+D82-E82</f>
        <v>0</v>
      </c>
      <c r="H82" s="48" t="e">
        <f>+G82/E82</f>
        <v>#DIV/0!</v>
      </c>
      <c r="I82" s="28">
        <f>+F82-D82</f>
        <v>0</v>
      </c>
      <c r="J82" s="48" t="e">
        <f>+I82/F82</f>
        <v>#DIV/0!</v>
      </c>
      <c r="K82" s="37"/>
      <c r="L82" s="54"/>
      <c r="M82" s="54"/>
      <c r="O82" s="15"/>
    </row>
    <row r="83" spans="1:15" s="1" customFormat="1" ht="14" x14ac:dyDescent="0.3">
      <c r="A83" s="108" t="s">
        <v>69</v>
      </c>
      <c r="B83" s="108"/>
      <c r="C83" s="109"/>
      <c r="D83" s="37"/>
      <c r="E83" s="37"/>
      <c r="F83" s="37"/>
      <c r="G83" s="27">
        <f t="shared" ref="G83:G91" si="27">+D83-E83</f>
        <v>0</v>
      </c>
      <c r="H83" s="48" t="e">
        <f t="shared" ref="H83:H91" si="28">+G83/E83</f>
        <v>#DIV/0!</v>
      </c>
      <c r="I83" s="28">
        <f t="shared" ref="I83:I91" si="29">+F83-D83</f>
        <v>0</v>
      </c>
      <c r="J83" s="48" t="e">
        <f t="shared" ref="J83:J91" si="30">+I83/F83</f>
        <v>#DIV/0!</v>
      </c>
      <c r="K83" s="37"/>
      <c r="L83" s="54"/>
      <c r="M83" s="54"/>
      <c r="O83" s="15"/>
    </row>
    <row r="84" spans="1:15" s="1" customFormat="1" ht="14" x14ac:dyDescent="0.3">
      <c r="A84" s="108" t="s">
        <v>70</v>
      </c>
      <c r="B84" s="108"/>
      <c r="C84" s="109"/>
      <c r="D84" s="37"/>
      <c r="E84" s="37"/>
      <c r="F84" s="37"/>
      <c r="G84" s="27">
        <f t="shared" si="27"/>
        <v>0</v>
      </c>
      <c r="H84" s="48" t="e">
        <f t="shared" si="28"/>
        <v>#DIV/0!</v>
      </c>
      <c r="I84" s="28">
        <f t="shared" si="29"/>
        <v>0</v>
      </c>
      <c r="J84" s="48" t="e">
        <f t="shared" si="30"/>
        <v>#DIV/0!</v>
      </c>
      <c r="K84" s="37"/>
      <c r="L84" s="54"/>
      <c r="M84" s="54"/>
      <c r="O84" s="15"/>
    </row>
    <row r="85" spans="1:15" s="1" customFormat="1" ht="14" x14ac:dyDescent="0.3">
      <c r="A85" s="108" t="s">
        <v>71</v>
      </c>
      <c r="B85" s="108"/>
      <c r="C85" s="109"/>
      <c r="D85" s="37"/>
      <c r="E85" s="37"/>
      <c r="F85" s="37"/>
      <c r="G85" s="27">
        <f t="shared" si="27"/>
        <v>0</v>
      </c>
      <c r="H85" s="48" t="e">
        <f t="shared" si="28"/>
        <v>#DIV/0!</v>
      </c>
      <c r="I85" s="28">
        <f t="shared" si="29"/>
        <v>0</v>
      </c>
      <c r="J85" s="48" t="e">
        <f t="shared" si="30"/>
        <v>#DIV/0!</v>
      </c>
      <c r="K85" s="37"/>
      <c r="L85" s="54"/>
      <c r="M85" s="54"/>
      <c r="O85" s="15"/>
    </row>
    <row r="86" spans="1:15" s="1" customFormat="1" ht="14" x14ac:dyDescent="0.3">
      <c r="A86" s="108" t="s">
        <v>72</v>
      </c>
      <c r="B86" s="108"/>
      <c r="C86" s="109"/>
      <c r="D86" s="37"/>
      <c r="E86" s="37"/>
      <c r="F86" s="37"/>
      <c r="G86" s="27">
        <f t="shared" si="27"/>
        <v>0</v>
      </c>
      <c r="H86" s="48" t="e">
        <f t="shared" si="28"/>
        <v>#DIV/0!</v>
      </c>
      <c r="I86" s="28">
        <f t="shared" si="29"/>
        <v>0</v>
      </c>
      <c r="J86" s="48" t="e">
        <f t="shared" si="30"/>
        <v>#DIV/0!</v>
      </c>
      <c r="K86" s="37"/>
      <c r="L86" s="54"/>
      <c r="M86" s="54"/>
      <c r="O86" s="15"/>
    </row>
    <row r="87" spans="1:15" s="1" customFormat="1" ht="14" x14ac:dyDescent="0.3">
      <c r="A87" s="108" t="s">
        <v>73</v>
      </c>
      <c r="B87" s="108"/>
      <c r="C87" s="109"/>
      <c r="D87" s="37"/>
      <c r="E87" s="37"/>
      <c r="F87" s="37"/>
      <c r="G87" s="27">
        <f t="shared" si="27"/>
        <v>0</v>
      </c>
      <c r="H87" s="48" t="e">
        <f t="shared" si="28"/>
        <v>#DIV/0!</v>
      </c>
      <c r="I87" s="28">
        <f t="shared" si="29"/>
        <v>0</v>
      </c>
      <c r="J87" s="48" t="e">
        <f t="shared" si="30"/>
        <v>#DIV/0!</v>
      </c>
      <c r="K87" s="37"/>
      <c r="L87" s="54"/>
      <c r="M87" s="54"/>
      <c r="O87" s="15"/>
    </row>
    <row r="88" spans="1:15" s="1" customFormat="1" ht="14" x14ac:dyDescent="0.3">
      <c r="A88" s="108" t="s">
        <v>74</v>
      </c>
      <c r="B88" s="108"/>
      <c r="C88" s="109"/>
      <c r="D88" s="37"/>
      <c r="E88" s="37"/>
      <c r="F88" s="37"/>
      <c r="G88" s="27">
        <f t="shared" si="27"/>
        <v>0</v>
      </c>
      <c r="H88" s="48" t="e">
        <f t="shared" si="28"/>
        <v>#DIV/0!</v>
      </c>
      <c r="I88" s="28">
        <f t="shared" si="29"/>
        <v>0</v>
      </c>
      <c r="J88" s="48" t="e">
        <f t="shared" si="30"/>
        <v>#DIV/0!</v>
      </c>
      <c r="K88" s="37"/>
      <c r="L88" s="54"/>
      <c r="M88" s="54"/>
      <c r="O88" s="15"/>
    </row>
    <row r="89" spans="1:15" s="1" customFormat="1" ht="14" x14ac:dyDescent="0.3">
      <c r="A89" s="108" t="s">
        <v>75</v>
      </c>
      <c r="B89" s="108"/>
      <c r="C89" s="109"/>
      <c r="D89" s="37"/>
      <c r="E89" s="37"/>
      <c r="F89" s="37"/>
      <c r="G89" s="27">
        <f t="shared" si="27"/>
        <v>0</v>
      </c>
      <c r="H89" s="48" t="e">
        <f t="shared" si="28"/>
        <v>#DIV/0!</v>
      </c>
      <c r="I89" s="28">
        <f t="shared" si="29"/>
        <v>0</v>
      </c>
      <c r="J89" s="48" t="e">
        <f t="shared" si="30"/>
        <v>#DIV/0!</v>
      </c>
      <c r="K89" s="37"/>
      <c r="L89" s="54"/>
      <c r="M89" s="54"/>
      <c r="O89" s="15"/>
    </row>
    <row r="90" spans="1:15" s="1" customFormat="1" ht="14" x14ac:dyDescent="0.3">
      <c r="A90" s="108" t="s">
        <v>76</v>
      </c>
      <c r="B90" s="108"/>
      <c r="C90" s="109"/>
      <c r="D90" s="37"/>
      <c r="E90" s="37"/>
      <c r="F90" s="37"/>
      <c r="G90" s="27">
        <f t="shared" si="27"/>
        <v>0</v>
      </c>
      <c r="H90" s="48" t="e">
        <f t="shared" si="28"/>
        <v>#DIV/0!</v>
      </c>
      <c r="I90" s="28">
        <f t="shared" si="29"/>
        <v>0</v>
      </c>
      <c r="J90" s="48" t="e">
        <f t="shared" si="30"/>
        <v>#DIV/0!</v>
      </c>
      <c r="K90" s="37"/>
      <c r="L90" s="54"/>
      <c r="M90" s="54"/>
      <c r="O90" s="15"/>
    </row>
    <row r="91" spans="1:15" s="1" customFormat="1" ht="14" x14ac:dyDescent="0.3">
      <c r="A91" s="108" t="s">
        <v>76</v>
      </c>
      <c r="B91" s="108"/>
      <c r="C91" s="109"/>
      <c r="D91" s="37"/>
      <c r="E91" s="37"/>
      <c r="F91" s="37"/>
      <c r="G91" s="27">
        <f t="shared" si="27"/>
        <v>0</v>
      </c>
      <c r="H91" s="48" t="e">
        <f t="shared" si="28"/>
        <v>#DIV/0!</v>
      </c>
      <c r="I91" s="28">
        <f t="shared" si="29"/>
        <v>0</v>
      </c>
      <c r="J91" s="48" t="e">
        <f t="shared" si="30"/>
        <v>#DIV/0!</v>
      </c>
      <c r="K91" s="37"/>
      <c r="L91" s="54"/>
      <c r="M91" s="54"/>
      <c r="O91" s="15"/>
    </row>
    <row r="92" spans="1:15" s="1" customFormat="1" ht="14" x14ac:dyDescent="0.3">
      <c r="A92" s="118" t="s">
        <v>129</v>
      </c>
      <c r="B92" s="118"/>
      <c r="C92" s="119"/>
      <c r="D92" s="27">
        <f>SUM(D80:D87)</f>
        <v>0</v>
      </c>
      <c r="E92" s="27">
        <f>SUM(E80:E87)</f>
        <v>0</v>
      </c>
      <c r="F92" s="27">
        <f>SUM(F80:F87)</f>
        <v>0</v>
      </c>
      <c r="G92" s="27">
        <f>SUM(G80:G87)</f>
        <v>0</v>
      </c>
      <c r="H92" s="48" t="e">
        <f>+G92/E92</f>
        <v>#DIV/0!</v>
      </c>
      <c r="I92" s="27">
        <f>SUM(I80:I87)</f>
        <v>0</v>
      </c>
      <c r="J92" s="48" t="e">
        <f>+I92/F92</f>
        <v>#DIV/0!</v>
      </c>
      <c r="K92" s="37"/>
      <c r="L92" s="54"/>
      <c r="M92" s="54"/>
      <c r="O92" s="15"/>
    </row>
    <row r="93" spans="1:15" s="1" customFormat="1" ht="14" x14ac:dyDescent="0.3">
      <c r="A93" s="118" t="s">
        <v>130</v>
      </c>
      <c r="B93" s="118"/>
      <c r="C93" s="119"/>
      <c r="D93" s="105"/>
      <c r="E93" s="106"/>
      <c r="F93" s="106"/>
      <c r="G93" s="106"/>
      <c r="H93" s="106"/>
      <c r="I93" s="106"/>
      <c r="J93" s="106"/>
      <c r="K93" s="106"/>
      <c r="L93" s="106"/>
      <c r="M93" s="107"/>
      <c r="O93" s="15"/>
    </row>
    <row r="94" spans="1:15" s="1" customFormat="1" ht="14" x14ac:dyDescent="0.3">
      <c r="A94" s="108" t="s">
        <v>77</v>
      </c>
      <c r="B94" s="108"/>
      <c r="C94" s="109"/>
      <c r="D94" s="37"/>
      <c r="E94" s="37"/>
      <c r="F94" s="37"/>
      <c r="G94" s="27">
        <f>+D94-E94</f>
        <v>0</v>
      </c>
      <c r="H94" s="48" t="e">
        <f t="shared" ref="H94:H100" si="31">+G94/E94</f>
        <v>#DIV/0!</v>
      </c>
      <c r="I94" s="28">
        <f>+F94-D94</f>
        <v>0</v>
      </c>
      <c r="J94" s="48" t="e">
        <f t="shared" ref="J94:J100" si="32">+I94/F94</f>
        <v>#DIV/0!</v>
      </c>
      <c r="K94" s="37"/>
      <c r="L94" s="54"/>
      <c r="M94" s="54"/>
      <c r="O94" s="15"/>
    </row>
    <row r="95" spans="1:15" s="1" customFormat="1" ht="14" x14ac:dyDescent="0.3">
      <c r="A95" s="108" t="s">
        <v>71</v>
      </c>
      <c r="B95" s="108"/>
      <c r="C95" s="109"/>
      <c r="D95" s="37"/>
      <c r="E95" s="37"/>
      <c r="F95" s="37"/>
      <c r="G95" s="27">
        <f>+D95-E95</f>
        <v>0</v>
      </c>
      <c r="H95" s="48" t="e">
        <f t="shared" si="31"/>
        <v>#DIV/0!</v>
      </c>
      <c r="I95" s="28">
        <f>+F95-D95</f>
        <v>0</v>
      </c>
      <c r="J95" s="48" t="e">
        <f t="shared" si="32"/>
        <v>#DIV/0!</v>
      </c>
      <c r="K95" s="37"/>
      <c r="L95" s="54"/>
      <c r="M95" s="54"/>
      <c r="O95" s="15"/>
    </row>
    <row r="96" spans="1:15" s="1" customFormat="1" ht="14" x14ac:dyDescent="0.3">
      <c r="A96" s="108" t="s">
        <v>78</v>
      </c>
      <c r="B96" s="108"/>
      <c r="C96" s="109"/>
      <c r="D96" s="37"/>
      <c r="E96" s="37"/>
      <c r="F96" s="37"/>
      <c r="G96" s="27">
        <f>+D96-E96</f>
        <v>0</v>
      </c>
      <c r="H96" s="48" t="e">
        <f t="shared" si="31"/>
        <v>#DIV/0!</v>
      </c>
      <c r="I96" s="28">
        <f>+F96-D96</f>
        <v>0</v>
      </c>
      <c r="J96" s="48" t="e">
        <f t="shared" si="32"/>
        <v>#DIV/0!</v>
      </c>
      <c r="K96" s="37"/>
      <c r="L96" s="54"/>
      <c r="M96" s="54"/>
      <c r="O96" s="15"/>
    </row>
    <row r="97" spans="1:15" s="1" customFormat="1" ht="14" x14ac:dyDescent="0.3">
      <c r="A97" s="108" t="s">
        <v>79</v>
      </c>
      <c r="B97" s="108"/>
      <c r="C97" s="109"/>
      <c r="D97" s="37"/>
      <c r="E97" s="37"/>
      <c r="F97" s="37"/>
      <c r="G97" s="27">
        <f>+D97-E97</f>
        <v>0</v>
      </c>
      <c r="H97" s="48" t="e">
        <f t="shared" si="31"/>
        <v>#DIV/0!</v>
      </c>
      <c r="I97" s="28">
        <f>+F97-D97</f>
        <v>0</v>
      </c>
      <c r="J97" s="48" t="e">
        <f t="shared" si="32"/>
        <v>#DIV/0!</v>
      </c>
      <c r="K97" s="37"/>
      <c r="L97" s="54"/>
      <c r="M97" s="54"/>
      <c r="O97" s="15"/>
    </row>
    <row r="98" spans="1:15" s="1" customFormat="1" ht="14" x14ac:dyDescent="0.3">
      <c r="A98" s="108" t="s">
        <v>79</v>
      </c>
      <c r="B98" s="108"/>
      <c r="C98" s="109"/>
      <c r="D98" s="37"/>
      <c r="E98" s="37"/>
      <c r="F98" s="37"/>
      <c r="G98" s="27">
        <f>+D98-E98</f>
        <v>0</v>
      </c>
      <c r="H98" s="48" t="e">
        <f t="shared" si="31"/>
        <v>#DIV/0!</v>
      </c>
      <c r="I98" s="28">
        <f>+F98-D98</f>
        <v>0</v>
      </c>
      <c r="J98" s="48" t="e">
        <f t="shared" si="32"/>
        <v>#DIV/0!</v>
      </c>
      <c r="K98" s="37"/>
      <c r="L98" s="54"/>
      <c r="M98" s="54"/>
      <c r="O98" s="15"/>
    </row>
    <row r="99" spans="1:15" s="1" customFormat="1" ht="14" x14ac:dyDescent="0.3">
      <c r="A99" s="118" t="s">
        <v>131</v>
      </c>
      <c r="B99" s="118"/>
      <c r="C99" s="119"/>
      <c r="D99" s="27">
        <f>SUM(D94:D98)</f>
        <v>0</v>
      </c>
      <c r="E99" s="27">
        <f>SUM(E94:E98)</f>
        <v>0</v>
      </c>
      <c r="F99" s="27">
        <f>SUM(F94:F98)</f>
        <v>0</v>
      </c>
      <c r="G99" s="27">
        <f>SUM(G94:G98)</f>
        <v>0</v>
      </c>
      <c r="H99" s="48" t="e">
        <f t="shared" si="31"/>
        <v>#DIV/0!</v>
      </c>
      <c r="I99" s="27">
        <f>SUM(I94:I98)</f>
        <v>0</v>
      </c>
      <c r="J99" s="48" t="e">
        <f t="shared" si="32"/>
        <v>#DIV/0!</v>
      </c>
      <c r="K99" s="37"/>
      <c r="L99" s="54"/>
      <c r="M99" s="54"/>
      <c r="O99" s="15"/>
    </row>
    <row r="100" spans="1:15" s="1" customFormat="1" ht="14" x14ac:dyDescent="0.3">
      <c r="A100" s="118" t="s">
        <v>136</v>
      </c>
      <c r="B100" s="118"/>
      <c r="C100" s="119"/>
      <c r="D100" s="27">
        <f>+D92+D99</f>
        <v>0</v>
      </c>
      <c r="E100" s="27">
        <f>+E92+E99</f>
        <v>0</v>
      </c>
      <c r="F100" s="27">
        <f>+F92+F99</f>
        <v>0</v>
      </c>
      <c r="G100" s="27">
        <f>+G92+G99</f>
        <v>0</v>
      </c>
      <c r="H100" s="48" t="e">
        <f t="shared" si="31"/>
        <v>#DIV/0!</v>
      </c>
      <c r="I100" s="27">
        <f>+I92+I99</f>
        <v>0</v>
      </c>
      <c r="J100" s="48" t="e">
        <f t="shared" si="32"/>
        <v>#DIV/0!</v>
      </c>
      <c r="K100" s="37"/>
      <c r="L100" s="54"/>
      <c r="M100" s="54"/>
      <c r="O100" s="15"/>
    </row>
    <row r="101" spans="1:15" s="1" customFormat="1" ht="14" x14ac:dyDescent="0.3">
      <c r="A101" s="118" t="s">
        <v>80</v>
      </c>
      <c r="B101" s="118"/>
      <c r="C101" s="119"/>
      <c r="D101" s="105"/>
      <c r="E101" s="106"/>
      <c r="F101" s="106"/>
      <c r="G101" s="106"/>
      <c r="H101" s="106"/>
      <c r="I101" s="106"/>
      <c r="J101" s="106"/>
      <c r="K101" s="106"/>
      <c r="L101" s="106"/>
      <c r="M101" s="107"/>
      <c r="O101" s="15"/>
    </row>
    <row r="102" spans="1:15" s="1" customFormat="1" ht="14" x14ac:dyDescent="0.3">
      <c r="A102" s="108" t="s">
        <v>81</v>
      </c>
      <c r="B102" s="108"/>
      <c r="C102" s="109"/>
      <c r="D102" s="41"/>
      <c r="E102" s="41"/>
      <c r="F102" s="41"/>
      <c r="G102" s="27">
        <f>+D102-E102</f>
        <v>0</v>
      </c>
      <c r="H102" s="48" t="e">
        <f t="shared" ref="H102:H107" si="33">+G102/E102</f>
        <v>#DIV/0!</v>
      </c>
      <c r="I102" s="28">
        <f>+F102-D102</f>
        <v>0</v>
      </c>
      <c r="J102" s="48" t="e">
        <f t="shared" ref="J102:J107" si="34">+I102/F102</f>
        <v>#DIV/0!</v>
      </c>
      <c r="K102" s="37"/>
      <c r="L102" s="54"/>
      <c r="M102" s="54"/>
      <c r="O102" s="15"/>
    </row>
    <row r="103" spans="1:15" s="1" customFormat="1" ht="14" x14ac:dyDescent="0.3">
      <c r="A103" s="108" t="s">
        <v>82</v>
      </c>
      <c r="B103" s="108"/>
      <c r="C103" s="109"/>
      <c r="D103" s="41"/>
      <c r="E103" s="41"/>
      <c r="F103" s="41"/>
      <c r="G103" s="27">
        <f>+D103-E103</f>
        <v>0</v>
      </c>
      <c r="H103" s="48" t="e">
        <f t="shared" si="33"/>
        <v>#DIV/0!</v>
      </c>
      <c r="I103" s="28">
        <f>+F103-D103</f>
        <v>0</v>
      </c>
      <c r="J103" s="48" t="e">
        <f t="shared" si="34"/>
        <v>#DIV/0!</v>
      </c>
      <c r="K103" s="37"/>
      <c r="L103" s="54"/>
      <c r="M103" s="54"/>
      <c r="O103" s="15"/>
    </row>
    <row r="104" spans="1:15" s="1" customFormat="1" ht="14" x14ac:dyDescent="0.3">
      <c r="A104" s="108" t="s">
        <v>83</v>
      </c>
      <c r="B104" s="108"/>
      <c r="C104" s="109"/>
      <c r="D104" s="41"/>
      <c r="E104" s="41"/>
      <c r="F104" s="41"/>
      <c r="G104" s="27">
        <f>+D104-E104</f>
        <v>0</v>
      </c>
      <c r="H104" s="48" t="e">
        <f t="shared" si="33"/>
        <v>#DIV/0!</v>
      </c>
      <c r="I104" s="28">
        <f>+F104-D104</f>
        <v>0</v>
      </c>
      <c r="J104" s="48" t="e">
        <f t="shared" si="34"/>
        <v>#DIV/0!</v>
      </c>
      <c r="K104" s="37"/>
      <c r="L104" s="54"/>
      <c r="M104" s="54"/>
      <c r="O104" s="15"/>
    </row>
    <row r="105" spans="1:15" s="1" customFormat="1" ht="14" x14ac:dyDescent="0.3">
      <c r="A105" s="108" t="s">
        <v>84</v>
      </c>
      <c r="B105" s="108"/>
      <c r="C105" s="109"/>
      <c r="D105" s="41"/>
      <c r="E105" s="41"/>
      <c r="F105" s="41"/>
      <c r="G105" s="27">
        <f>+D105-E105</f>
        <v>0</v>
      </c>
      <c r="H105" s="48" t="e">
        <f t="shared" si="33"/>
        <v>#DIV/0!</v>
      </c>
      <c r="I105" s="28">
        <f>+F105-D105</f>
        <v>0</v>
      </c>
      <c r="J105" s="48" t="e">
        <f t="shared" si="34"/>
        <v>#DIV/0!</v>
      </c>
      <c r="K105" s="37"/>
      <c r="L105" s="54"/>
      <c r="M105" s="54"/>
      <c r="O105" s="15"/>
    </row>
    <row r="106" spans="1:15" s="1" customFormat="1" ht="14" x14ac:dyDescent="0.3">
      <c r="A106" s="118" t="s">
        <v>85</v>
      </c>
      <c r="B106" s="118"/>
      <c r="C106" s="119"/>
      <c r="D106" s="27">
        <f>SUM(D102:D105)</f>
        <v>0</v>
      </c>
      <c r="E106" s="27">
        <f>SUM(E102:E105)</f>
        <v>0</v>
      </c>
      <c r="F106" s="27">
        <f>SUM(F102:F105)</f>
        <v>0</v>
      </c>
      <c r="G106" s="27">
        <f>SUM(G102:G105)</f>
        <v>0</v>
      </c>
      <c r="H106" s="48" t="e">
        <f t="shared" si="33"/>
        <v>#DIV/0!</v>
      </c>
      <c r="I106" s="27">
        <f>SUM(I102:I105)</f>
        <v>0</v>
      </c>
      <c r="J106" s="48" t="e">
        <f t="shared" si="34"/>
        <v>#DIV/0!</v>
      </c>
      <c r="K106" s="37"/>
      <c r="L106" s="54"/>
      <c r="M106" s="54"/>
      <c r="O106" s="15"/>
    </row>
    <row r="107" spans="1:15" s="1" customFormat="1" ht="14" x14ac:dyDescent="0.3">
      <c r="A107" s="118" t="s">
        <v>86</v>
      </c>
      <c r="B107" s="118"/>
      <c r="C107" s="119"/>
      <c r="D107" s="27">
        <f>+D99+D106</f>
        <v>0</v>
      </c>
      <c r="E107" s="27">
        <f>+E99+E106</f>
        <v>0</v>
      </c>
      <c r="F107" s="27">
        <f>+F99+F106</f>
        <v>0</v>
      </c>
      <c r="G107" s="27">
        <f>+G99+G106</f>
        <v>0</v>
      </c>
      <c r="H107" s="48" t="e">
        <f t="shared" si="33"/>
        <v>#DIV/0!</v>
      </c>
      <c r="I107" s="27">
        <v>0</v>
      </c>
      <c r="J107" s="48" t="e">
        <f t="shared" si="34"/>
        <v>#DIV/0!</v>
      </c>
      <c r="K107" s="37"/>
      <c r="L107" s="54"/>
      <c r="M107" s="54"/>
      <c r="O107" s="15"/>
    </row>
    <row r="109" spans="1:15" s="1" customFormat="1" ht="42" x14ac:dyDescent="0.3">
      <c r="A109" s="35"/>
      <c r="B109" s="35"/>
      <c r="C109" s="35"/>
      <c r="D109" s="112" t="s">
        <v>24</v>
      </c>
      <c r="E109" s="111" t="s">
        <v>25</v>
      </c>
      <c r="F109" s="111" t="s">
        <v>26</v>
      </c>
      <c r="G109" s="128" t="s">
        <v>27</v>
      </c>
      <c r="H109" s="129"/>
      <c r="I109" s="128" t="s">
        <v>28</v>
      </c>
      <c r="J109" s="129"/>
      <c r="K109" s="116" t="s">
        <v>29</v>
      </c>
      <c r="L109" s="114" t="s">
        <v>30</v>
      </c>
      <c r="M109" s="111" t="s">
        <v>134</v>
      </c>
      <c r="O109" s="40" t="s">
        <v>5</v>
      </c>
    </row>
    <row r="110" spans="1:15" s="1" customFormat="1" ht="24" customHeight="1" x14ac:dyDescent="0.3">
      <c r="A110" s="112" t="s">
        <v>87</v>
      </c>
      <c r="B110" s="116"/>
      <c r="C110" s="70"/>
      <c r="D110" s="113"/>
      <c r="E110" s="94"/>
      <c r="F110" s="94"/>
      <c r="G110" s="22" t="s">
        <v>31</v>
      </c>
      <c r="H110" s="24" t="s">
        <v>32</v>
      </c>
      <c r="I110" s="25" t="s">
        <v>31</v>
      </c>
      <c r="J110" s="22" t="s">
        <v>32</v>
      </c>
      <c r="K110" s="117"/>
      <c r="L110" s="115"/>
      <c r="M110" s="94"/>
      <c r="O110" s="15"/>
    </row>
    <row r="111" spans="1:15" s="1" customFormat="1" ht="14" x14ac:dyDescent="0.3">
      <c r="A111" s="118" t="s">
        <v>88</v>
      </c>
      <c r="B111" s="118"/>
      <c r="C111" s="119"/>
      <c r="D111" s="27">
        <f>+D72-D92</f>
        <v>0</v>
      </c>
      <c r="E111" s="27">
        <f>+E72-E92</f>
        <v>0</v>
      </c>
      <c r="F111" s="27">
        <f>+F72-F92</f>
        <v>0</v>
      </c>
      <c r="G111" s="27">
        <f t="shared" ref="G111:G116" si="35">+D111-E111</f>
        <v>0</v>
      </c>
      <c r="H111" s="48" t="e">
        <f t="shared" ref="H111:H116" si="36">+G111/E111</f>
        <v>#DIV/0!</v>
      </c>
      <c r="I111" s="28">
        <f t="shared" ref="I111:I116" si="37">+F111-D111</f>
        <v>0</v>
      </c>
      <c r="J111" s="48" t="e">
        <f t="shared" ref="J111:J116" si="38">+I111/F111</f>
        <v>#DIV/0!</v>
      </c>
      <c r="K111" s="37"/>
      <c r="L111" s="54"/>
      <c r="M111" s="54"/>
      <c r="O111" s="15"/>
    </row>
    <row r="112" spans="1:15" s="1" customFormat="1" ht="14" x14ac:dyDescent="0.3">
      <c r="A112" s="118" t="s">
        <v>89</v>
      </c>
      <c r="B112" s="118"/>
      <c r="C112" s="119"/>
      <c r="D112" s="37"/>
      <c r="E112" s="37"/>
      <c r="F112" s="37"/>
      <c r="G112" s="27">
        <f t="shared" si="35"/>
        <v>0</v>
      </c>
      <c r="H112" s="48" t="e">
        <f t="shared" si="36"/>
        <v>#DIV/0!</v>
      </c>
      <c r="I112" s="28">
        <f t="shared" si="37"/>
        <v>0</v>
      </c>
      <c r="J112" s="48" t="e">
        <f t="shared" si="38"/>
        <v>#DIV/0!</v>
      </c>
      <c r="K112" s="37"/>
      <c r="L112" s="54"/>
      <c r="M112" s="54"/>
      <c r="O112" s="15"/>
    </row>
    <row r="113" spans="1:15" s="1" customFormat="1" ht="24" customHeight="1" x14ac:dyDescent="0.3">
      <c r="A113" s="118" t="s">
        <v>90</v>
      </c>
      <c r="B113" s="118"/>
      <c r="C113" s="119"/>
      <c r="D113" s="37"/>
      <c r="E113" s="37"/>
      <c r="F113" s="37"/>
      <c r="G113" s="27">
        <f t="shared" si="35"/>
        <v>0</v>
      </c>
      <c r="H113" s="48" t="e">
        <f t="shared" si="36"/>
        <v>#DIV/0!</v>
      </c>
      <c r="I113" s="28">
        <f t="shared" si="37"/>
        <v>0</v>
      </c>
      <c r="J113" s="48" t="e">
        <f t="shared" si="38"/>
        <v>#DIV/0!</v>
      </c>
      <c r="K113" s="37"/>
      <c r="L113" s="54"/>
      <c r="M113" s="54"/>
      <c r="O113" s="15"/>
    </row>
    <row r="114" spans="1:15" s="1" customFormat="1" ht="14" x14ac:dyDescent="0.3">
      <c r="A114" s="118" t="s">
        <v>91</v>
      </c>
      <c r="B114" s="118"/>
      <c r="C114" s="119"/>
      <c r="D114" s="37"/>
      <c r="E114" s="37"/>
      <c r="F114" s="37"/>
      <c r="G114" s="27">
        <f t="shared" si="35"/>
        <v>0</v>
      </c>
      <c r="H114" s="48" t="e">
        <f t="shared" si="36"/>
        <v>#DIV/0!</v>
      </c>
      <c r="I114" s="28">
        <f t="shared" si="37"/>
        <v>0</v>
      </c>
      <c r="J114" s="48" t="e">
        <f t="shared" si="38"/>
        <v>#DIV/0!</v>
      </c>
      <c r="K114" s="37"/>
      <c r="L114" s="54"/>
      <c r="M114" s="54"/>
      <c r="O114" s="15"/>
    </row>
    <row r="115" spans="1:15" s="1" customFormat="1" ht="28" x14ac:dyDescent="0.3">
      <c r="A115" s="118" t="s">
        <v>92</v>
      </c>
      <c r="B115" s="118"/>
      <c r="C115" s="119"/>
      <c r="D115" s="37"/>
      <c r="E115" s="37"/>
      <c r="F115" s="37"/>
      <c r="G115" s="27">
        <f t="shared" si="35"/>
        <v>0</v>
      </c>
      <c r="H115" s="48" t="e">
        <f t="shared" si="36"/>
        <v>#DIV/0!</v>
      </c>
      <c r="I115" s="28">
        <f t="shared" si="37"/>
        <v>0</v>
      </c>
      <c r="J115" s="48" t="e">
        <f t="shared" si="38"/>
        <v>#DIV/0!</v>
      </c>
      <c r="K115" s="37"/>
      <c r="L115" s="54"/>
      <c r="M115" s="54"/>
      <c r="O115" s="40" t="s">
        <v>7</v>
      </c>
    </row>
    <row r="116" spans="1:15" s="1" customFormat="1" ht="14" x14ac:dyDescent="0.3">
      <c r="A116" s="118" t="s">
        <v>93</v>
      </c>
      <c r="B116" s="118"/>
      <c r="C116" s="119"/>
      <c r="D116" s="37"/>
      <c r="E116" s="37"/>
      <c r="F116" s="37"/>
      <c r="G116" s="27">
        <f t="shared" si="35"/>
        <v>0</v>
      </c>
      <c r="H116" s="48" t="e">
        <f t="shared" si="36"/>
        <v>#DIV/0!</v>
      </c>
      <c r="I116" s="28">
        <f t="shared" si="37"/>
        <v>0</v>
      </c>
      <c r="J116" s="48" t="e">
        <f t="shared" si="38"/>
        <v>#DIV/0!</v>
      </c>
      <c r="K116" s="37"/>
      <c r="L116" s="54"/>
      <c r="M116" s="54"/>
      <c r="O116" s="15"/>
    </row>
    <row r="120" spans="1:15" x14ac:dyDescent="0.35">
      <c r="A120" s="83" t="s">
        <v>94</v>
      </c>
      <c r="B120" s="83"/>
    </row>
    <row r="121" spans="1:15" x14ac:dyDescent="0.35">
      <c r="A121" s="83" t="s">
        <v>16</v>
      </c>
      <c r="B121" s="83"/>
    </row>
  </sheetData>
  <sheetProtection formatCells="0" formatColumns="0" formatRows="0" insertColumns="0" insertRows="0" insertHyperlinks="0" deleteColumns="0" deleteRows="0" sort="0" autoFilter="0" pivotTables="0"/>
  <mergeCells count="151">
    <mergeCell ref="A18:C18"/>
    <mergeCell ref="A21:C21"/>
    <mergeCell ref="A22:C22"/>
    <mergeCell ref="A23:C23"/>
    <mergeCell ref="A24:C24"/>
    <mergeCell ref="A25:C25"/>
    <mergeCell ref="D36:M36"/>
    <mergeCell ref="D47:M47"/>
    <mergeCell ref="A37:C37"/>
    <mergeCell ref="A38:C38"/>
    <mergeCell ref="A39:C39"/>
    <mergeCell ref="A43:C43"/>
    <mergeCell ref="D43:M43"/>
    <mergeCell ref="A44:C44"/>
    <mergeCell ref="A45:C45"/>
    <mergeCell ref="A46:C46"/>
    <mergeCell ref="A34:C34"/>
    <mergeCell ref="D81:M81"/>
    <mergeCell ref="A82:C82"/>
    <mergeCell ref="A83:C83"/>
    <mergeCell ref="A94:C94"/>
    <mergeCell ref="D101:M101"/>
    <mergeCell ref="D93:M93"/>
    <mergeCell ref="A6:M6"/>
    <mergeCell ref="E8:M8"/>
    <mergeCell ref="E9:M9"/>
    <mergeCell ref="B8:C8"/>
    <mergeCell ref="A19:C19"/>
    <mergeCell ref="A7:M7"/>
    <mergeCell ref="G13:H13"/>
    <mergeCell ref="I13:J13"/>
    <mergeCell ref="A28:C28"/>
    <mergeCell ref="A14:C14"/>
    <mergeCell ref="A10:C10"/>
    <mergeCell ref="A20:C20"/>
    <mergeCell ref="A8:A9"/>
    <mergeCell ref="D29:M29"/>
    <mergeCell ref="A15:C15"/>
    <mergeCell ref="A55:C55"/>
    <mergeCell ref="A16:C16"/>
    <mergeCell ref="A17:C17"/>
    <mergeCell ref="D80:M80"/>
    <mergeCell ref="A66:C66"/>
    <mergeCell ref="A67:C67"/>
    <mergeCell ref="A68:C68"/>
    <mergeCell ref="L62:L63"/>
    <mergeCell ref="M62:M63"/>
    <mergeCell ref="A71:C71"/>
    <mergeCell ref="D62:D63"/>
    <mergeCell ref="E62:E63"/>
    <mergeCell ref="F62:F63"/>
    <mergeCell ref="A63:B63"/>
    <mergeCell ref="G62:H62"/>
    <mergeCell ref="I62:J62"/>
    <mergeCell ref="K62:K63"/>
    <mergeCell ref="G109:H109"/>
    <mergeCell ref="I109:J109"/>
    <mergeCell ref="A72:C72"/>
    <mergeCell ref="A73:C73"/>
    <mergeCell ref="D73:M73"/>
    <mergeCell ref="A78:C78"/>
    <mergeCell ref="A80:C80"/>
    <mergeCell ref="A100:C100"/>
    <mergeCell ref="F109:F110"/>
    <mergeCell ref="A77:C77"/>
    <mergeCell ref="A89:C89"/>
    <mergeCell ref="A90:C90"/>
    <mergeCell ref="A91:C91"/>
    <mergeCell ref="A86:C86"/>
    <mergeCell ref="A74:C74"/>
    <mergeCell ref="A75:C75"/>
    <mergeCell ref="A76:C76"/>
    <mergeCell ref="D109:D110"/>
    <mergeCell ref="L109:L110"/>
    <mergeCell ref="M109:M110"/>
    <mergeCell ref="A110:B110"/>
    <mergeCell ref="K109:K110"/>
    <mergeCell ref="E109:E110"/>
    <mergeCell ref="A87:C87"/>
    <mergeCell ref="A49:C49"/>
    <mergeCell ref="A50:C50"/>
    <mergeCell ref="A111:C111"/>
    <mergeCell ref="A112:C112"/>
    <mergeCell ref="A58:C58"/>
    <mergeCell ref="A59:B59"/>
    <mergeCell ref="A103:C103"/>
    <mergeCell ref="A104:C104"/>
    <mergeCell ref="A105:C105"/>
    <mergeCell ref="A106:C106"/>
    <mergeCell ref="A107:C107"/>
    <mergeCell ref="A102:C102"/>
    <mergeCell ref="A95:C95"/>
    <mergeCell ref="A88:C88"/>
    <mergeCell ref="A96:C96"/>
    <mergeCell ref="A97:C97"/>
    <mergeCell ref="A92:C92"/>
    <mergeCell ref="A93:C93"/>
    <mergeCell ref="A99:C99"/>
    <mergeCell ref="A101:C101"/>
    <mergeCell ref="A98:C98"/>
    <mergeCell ref="A81:C81"/>
    <mergeCell ref="A84:C84"/>
    <mergeCell ref="A85:C85"/>
    <mergeCell ref="E10:M10"/>
    <mergeCell ref="B9:C9"/>
    <mergeCell ref="A113:C113"/>
    <mergeCell ref="A115:C115"/>
    <mergeCell ref="A116:C116"/>
    <mergeCell ref="A120:B120"/>
    <mergeCell ref="A121:B121"/>
    <mergeCell ref="A27:C27"/>
    <mergeCell ref="A31:C31"/>
    <mergeCell ref="A56:C56"/>
    <mergeCell ref="A57:C57"/>
    <mergeCell ref="A40:C40"/>
    <mergeCell ref="A69:C69"/>
    <mergeCell ref="A70:C70"/>
    <mergeCell ref="A64:C64"/>
    <mergeCell ref="A65:C65"/>
    <mergeCell ref="A114:C114"/>
    <mergeCell ref="A29:C29"/>
    <mergeCell ref="A79:B79"/>
    <mergeCell ref="A41:C41"/>
    <mergeCell ref="A60:B60"/>
    <mergeCell ref="A47:C47"/>
    <mergeCell ref="A42:C42"/>
    <mergeCell ref="A48:C48"/>
    <mergeCell ref="C3:D3"/>
    <mergeCell ref="A11:M11"/>
    <mergeCell ref="B1:D1"/>
    <mergeCell ref="D64:M64"/>
    <mergeCell ref="D65:M65"/>
    <mergeCell ref="A51:C51"/>
    <mergeCell ref="A52:C52"/>
    <mergeCell ref="A53:C53"/>
    <mergeCell ref="A54:C54"/>
    <mergeCell ref="G1:H1"/>
    <mergeCell ref="D15:M15"/>
    <mergeCell ref="D22:M22"/>
    <mergeCell ref="M13:M14"/>
    <mergeCell ref="D13:D14"/>
    <mergeCell ref="E13:E14"/>
    <mergeCell ref="F13:F14"/>
    <mergeCell ref="L13:L14"/>
    <mergeCell ref="K13:K14"/>
    <mergeCell ref="A35:C35"/>
    <mergeCell ref="A36:C36"/>
    <mergeCell ref="A26:C26"/>
    <mergeCell ref="A32:C32"/>
    <mergeCell ref="A30:C30"/>
    <mergeCell ref="A33:C33"/>
  </mergeCells>
  <conditionalFormatting sqref="L16">
    <cfRule type="expression" dxfId="27" priority="28">
      <formula>$K16="yes"</formula>
    </cfRule>
  </conditionalFormatting>
  <conditionalFormatting sqref="M16">
    <cfRule type="expression" dxfId="26" priority="27">
      <formula>$K16="yes"</formula>
    </cfRule>
  </conditionalFormatting>
  <conditionalFormatting sqref="L17">
    <cfRule type="expression" dxfId="25" priority="26">
      <formula>$K17="yes"</formula>
    </cfRule>
  </conditionalFormatting>
  <conditionalFormatting sqref="M17">
    <cfRule type="expression" dxfId="24" priority="25">
      <formula>$K17="yes"</formula>
    </cfRule>
  </conditionalFormatting>
  <conditionalFormatting sqref="L18:L21">
    <cfRule type="expression" dxfId="23" priority="24">
      <formula>$K18="yes"</formula>
    </cfRule>
  </conditionalFormatting>
  <conditionalFormatting sqref="M18:M21">
    <cfRule type="expression" dxfId="22" priority="23">
      <formula>$K18="yes"</formula>
    </cfRule>
  </conditionalFormatting>
  <conditionalFormatting sqref="L23:L28">
    <cfRule type="expression" dxfId="21" priority="22">
      <formula>$K23="yes"</formula>
    </cfRule>
  </conditionalFormatting>
  <conditionalFormatting sqref="M23:M28">
    <cfRule type="expression" dxfId="20" priority="21">
      <formula>$K23="yes"</formula>
    </cfRule>
  </conditionalFormatting>
  <conditionalFormatting sqref="L30:L35">
    <cfRule type="expression" dxfId="19" priority="20">
      <formula>$K30="yes"</formula>
    </cfRule>
  </conditionalFormatting>
  <conditionalFormatting sqref="M30:M35">
    <cfRule type="expression" dxfId="18" priority="19">
      <formula>$K30="yes"</formula>
    </cfRule>
  </conditionalFormatting>
  <conditionalFormatting sqref="L37:L42">
    <cfRule type="expression" dxfId="17" priority="18">
      <formula>$K37="yes"</formula>
    </cfRule>
  </conditionalFormatting>
  <conditionalFormatting sqref="M37:M42">
    <cfRule type="expression" dxfId="16" priority="17">
      <formula>$K37="yes"</formula>
    </cfRule>
  </conditionalFormatting>
  <conditionalFormatting sqref="L44:L46">
    <cfRule type="expression" dxfId="15" priority="16">
      <formula>$K44="yes"</formula>
    </cfRule>
  </conditionalFormatting>
  <conditionalFormatting sqref="M44:M46">
    <cfRule type="expression" dxfId="14" priority="15">
      <formula>$K44="yes"</formula>
    </cfRule>
  </conditionalFormatting>
  <conditionalFormatting sqref="L48:L60">
    <cfRule type="expression" dxfId="13" priority="14">
      <formula>$K48="yes"</formula>
    </cfRule>
  </conditionalFormatting>
  <conditionalFormatting sqref="M48:M60">
    <cfRule type="expression" dxfId="12" priority="13">
      <formula>$K48="yes"</formula>
    </cfRule>
  </conditionalFormatting>
  <conditionalFormatting sqref="L66:L72">
    <cfRule type="expression" dxfId="11" priority="12">
      <formula>$K66="yes"</formula>
    </cfRule>
  </conditionalFormatting>
  <conditionalFormatting sqref="M66:M72">
    <cfRule type="expression" dxfId="10" priority="11">
      <formula>$K66="yes"</formula>
    </cfRule>
  </conditionalFormatting>
  <conditionalFormatting sqref="L74:L79">
    <cfRule type="expression" dxfId="9" priority="10">
      <formula>$K74="yes"</formula>
    </cfRule>
  </conditionalFormatting>
  <conditionalFormatting sqref="M74:M79">
    <cfRule type="expression" dxfId="8" priority="9">
      <formula>$K74="yes"</formula>
    </cfRule>
  </conditionalFormatting>
  <conditionalFormatting sqref="L82:L92">
    <cfRule type="expression" dxfId="7" priority="8">
      <formula>$K82="yes"</formula>
    </cfRule>
  </conditionalFormatting>
  <conditionalFormatting sqref="M82:M92">
    <cfRule type="expression" dxfId="6" priority="7">
      <formula>$K82="yes"</formula>
    </cfRule>
  </conditionalFormatting>
  <conditionalFormatting sqref="L94:L100">
    <cfRule type="expression" dxfId="5" priority="6">
      <formula>$K94="yes"</formula>
    </cfRule>
  </conditionalFormatting>
  <conditionalFormatting sqref="M94:M100">
    <cfRule type="expression" dxfId="4" priority="5">
      <formula>$K94="yes"</formula>
    </cfRule>
  </conditionalFormatting>
  <conditionalFormatting sqref="L102:L107">
    <cfRule type="expression" dxfId="3" priority="4">
      <formula>$K102="yes"</formula>
    </cfRule>
  </conditionalFormatting>
  <conditionalFormatting sqref="M102:M107">
    <cfRule type="expression" dxfId="2" priority="3">
      <formula>$K102="yes"</formula>
    </cfRule>
  </conditionalFormatting>
  <conditionalFormatting sqref="L111:L116">
    <cfRule type="expression" dxfId="1" priority="2">
      <formula>$K111="yes"</formula>
    </cfRule>
  </conditionalFormatting>
  <conditionalFormatting sqref="M111:M116">
    <cfRule type="expression" dxfId="0" priority="1">
      <formula>$K111="yes"</formula>
    </cfRule>
  </conditionalFormatting>
  <dataValidations count="2">
    <dataValidation type="list" allowBlank="1" showInputMessage="1" showErrorMessage="1" sqref="D8:D9 K16:K21 K23:K28 K30:K35 K111:K116 K48:K60 K66:K72 K74:K79 K82:K92 K94:K100 K102:K107 K44:K46 K37:K42" xr:uid="{00000000-0002-0000-0100-000000000000}">
      <formula1>yes_no</formula1>
    </dataValidation>
    <dataValidation type="list" allowBlank="1" showInputMessage="1" showErrorMessage="1" sqref="D10" xr:uid="{00000000-0002-0000-0100-000001000000}">
      <formula1>rev_streams</formula1>
    </dataValidation>
  </dataValidations>
  <hyperlinks>
    <hyperlink ref="A120:B120" location="PartA" display="Go to Part A" xr:uid="{00000000-0004-0000-0100-000000000000}"/>
    <hyperlink ref="A121:B121" location="PartC" display="Go to Part C" xr:uid="{00000000-0004-0000-0100-000001000000}"/>
  </hyperlinks>
  <pageMargins left="0.86614173228346458" right="0.74803149606299213" top="0.98425196850393704" bottom="0.55118110236220474" header="0.39370078740157483" footer="0.31496062992125984"/>
  <pageSetup scale="76" fitToHeight="0" orientation="landscape" r:id="rId1"/>
  <headerFooter>
    <oddHeader>&amp;L&amp;"Arial,Bold Italic"&amp;15Worksheet&amp;"Arial,Bold" —&amp;"Arial,Regular" Preliminary analytical procedures — Part B&amp;R&amp;"Arial,Regular"&amp;18 &amp;"Arial,Bold"501
&amp;"Arial,Regular"&amp;8Page &amp;P of &amp;N</oddHeader>
    <oddFooter>&amp;L&amp;"Arial,Regular"&amp;8PEG Forms — Audits&amp;R&amp;"Arial,Regular"&amp;8©2022 CPA Canada PEG</oddFooter>
  </headerFooter>
  <ignoredErrors>
    <ignoredError sqref="A17:A20"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I30"/>
  <sheetViews>
    <sheetView view="pageLayout" zoomScale="80" zoomScaleNormal="80" zoomScalePageLayoutView="80" workbookViewId="0">
      <selection activeCell="G72" sqref="G72"/>
    </sheetView>
  </sheetViews>
  <sheetFormatPr defaultRowHeight="14.5" x14ac:dyDescent="0.35"/>
  <cols>
    <col min="1" max="1" width="6.54296875" customWidth="1"/>
    <col min="2" max="2" width="22.54296875" customWidth="1"/>
    <col min="4" max="4" width="10.26953125" customWidth="1"/>
    <col min="5" max="5" width="9.26953125" customWidth="1"/>
    <col min="6" max="6" width="20.26953125" customWidth="1"/>
    <col min="7" max="7" width="45.26953125" customWidth="1"/>
    <col min="8" max="8" width="4.54296875" hidden="1" customWidth="1"/>
    <col min="9" max="9" width="7.7265625" style="23" hidden="1" customWidth="1"/>
  </cols>
  <sheetData>
    <row r="1" spans="1:9" s="2" customFormat="1" ht="11.5" x14ac:dyDescent="0.25">
      <c r="A1" s="30" t="s">
        <v>0</v>
      </c>
      <c r="B1" s="104"/>
      <c r="C1" s="104"/>
      <c r="D1" s="104"/>
      <c r="E1" s="67" t="s">
        <v>1</v>
      </c>
      <c r="F1" s="52"/>
      <c r="I1" s="14"/>
    </row>
    <row r="2" spans="1:9" s="2" customFormat="1" ht="11.5" x14ac:dyDescent="0.25">
      <c r="A2" s="30"/>
      <c r="B2" s="30"/>
      <c r="C2" s="30"/>
      <c r="D2" s="67"/>
      <c r="E2" s="67"/>
      <c r="F2" s="8"/>
      <c r="I2" s="14"/>
    </row>
    <row r="3" spans="1:9" s="2" customFormat="1" ht="11.5" x14ac:dyDescent="0.25">
      <c r="A3" s="31" t="s">
        <v>3</v>
      </c>
      <c r="B3" s="31"/>
      <c r="C3" s="102"/>
      <c r="D3" s="102"/>
      <c r="E3" s="30"/>
      <c r="F3" s="19"/>
      <c r="I3" s="14"/>
    </row>
    <row r="4" spans="1:9" s="2" customFormat="1" ht="11.5" x14ac:dyDescent="0.25">
      <c r="A4" s="32"/>
      <c r="B4" s="32"/>
      <c r="C4" s="32"/>
      <c r="D4" s="4"/>
      <c r="E4" s="4"/>
      <c r="F4" s="6"/>
      <c r="I4" s="14"/>
    </row>
    <row r="5" spans="1:9" x14ac:dyDescent="0.35">
      <c r="B5" s="17"/>
      <c r="C5" s="17"/>
    </row>
    <row r="6" spans="1:9" s="2" customFormat="1" ht="11.5" x14ac:dyDescent="0.25">
      <c r="A6" s="136" t="s">
        <v>95</v>
      </c>
      <c r="B6" s="136"/>
      <c r="C6" s="136"/>
      <c r="D6" s="136"/>
      <c r="E6" s="136"/>
      <c r="F6" s="136"/>
      <c r="G6" s="136"/>
      <c r="I6" s="14"/>
    </row>
    <row r="8" spans="1:9" s="1" customFormat="1" ht="51.65" customHeight="1" x14ac:dyDescent="0.3">
      <c r="A8" s="7" t="s">
        <v>96</v>
      </c>
      <c r="B8" s="144" t="s">
        <v>97</v>
      </c>
      <c r="C8" s="145"/>
      <c r="D8" s="146"/>
      <c r="E8" s="152" t="s">
        <v>98</v>
      </c>
      <c r="F8" s="153"/>
      <c r="G8" s="13" t="s">
        <v>112</v>
      </c>
      <c r="I8" s="40" t="s">
        <v>5</v>
      </c>
    </row>
    <row r="9" spans="1:9" s="1" customFormat="1" ht="42" x14ac:dyDescent="0.3">
      <c r="A9" s="46"/>
      <c r="B9" s="147"/>
      <c r="C9" s="147"/>
      <c r="D9" s="147"/>
      <c r="E9" s="154"/>
      <c r="F9" s="155"/>
      <c r="G9" s="47"/>
      <c r="I9" s="45" t="s">
        <v>5</v>
      </c>
    </row>
    <row r="10" spans="1:9" s="1" customFormat="1" ht="42" x14ac:dyDescent="0.3">
      <c r="A10" s="46"/>
      <c r="B10" s="147"/>
      <c r="C10" s="147"/>
      <c r="D10" s="147"/>
      <c r="E10" s="154"/>
      <c r="F10" s="155"/>
      <c r="G10" s="47"/>
      <c r="I10" s="45" t="s">
        <v>5</v>
      </c>
    </row>
    <row r="11" spans="1:9" s="1" customFormat="1" ht="42" x14ac:dyDescent="0.3">
      <c r="A11" s="46"/>
      <c r="B11" s="147"/>
      <c r="C11" s="147"/>
      <c r="D11" s="147"/>
      <c r="E11" s="154"/>
      <c r="F11" s="155"/>
      <c r="G11" s="72"/>
      <c r="I11" s="45" t="s">
        <v>5</v>
      </c>
    </row>
    <row r="12" spans="1:9" s="1" customFormat="1" ht="42" x14ac:dyDescent="0.3">
      <c r="A12" s="46"/>
      <c r="B12" s="147"/>
      <c r="C12" s="147"/>
      <c r="D12" s="147"/>
      <c r="E12" s="154"/>
      <c r="F12" s="155"/>
      <c r="G12" s="47"/>
      <c r="I12" s="45" t="s">
        <v>5</v>
      </c>
    </row>
    <row r="13" spans="1:9" s="1" customFormat="1" ht="42" x14ac:dyDescent="0.3">
      <c r="A13" s="46"/>
      <c r="B13" s="147"/>
      <c r="C13" s="147"/>
      <c r="D13" s="147"/>
      <c r="E13" s="154"/>
      <c r="F13" s="155"/>
      <c r="G13" s="47"/>
      <c r="I13" s="45" t="s">
        <v>5</v>
      </c>
    </row>
    <row r="14" spans="1:9" s="1" customFormat="1" ht="42" x14ac:dyDescent="0.3">
      <c r="A14" s="46"/>
      <c r="B14" s="147"/>
      <c r="C14" s="147"/>
      <c r="D14" s="147"/>
      <c r="E14" s="154"/>
      <c r="F14" s="155"/>
      <c r="G14" s="47"/>
      <c r="I14" s="45" t="s">
        <v>5</v>
      </c>
    </row>
    <row r="15" spans="1:9" s="1" customFormat="1" ht="42" x14ac:dyDescent="0.3">
      <c r="A15" s="46"/>
      <c r="B15" s="147"/>
      <c r="C15" s="147"/>
      <c r="D15" s="147"/>
      <c r="E15" s="154"/>
      <c r="F15" s="155"/>
      <c r="G15" s="47"/>
      <c r="I15" s="45" t="s">
        <v>5</v>
      </c>
    </row>
    <row r="16" spans="1:9" s="1" customFormat="1" ht="42" x14ac:dyDescent="0.3">
      <c r="A16" s="46"/>
      <c r="B16" s="147"/>
      <c r="C16" s="147"/>
      <c r="D16" s="147"/>
      <c r="E16" s="154"/>
      <c r="F16" s="155"/>
      <c r="G16" s="47"/>
      <c r="I16" s="45" t="s">
        <v>5</v>
      </c>
    </row>
    <row r="17" spans="1:9" s="1" customFormat="1" ht="42" x14ac:dyDescent="0.3">
      <c r="A17" s="46"/>
      <c r="B17" s="147"/>
      <c r="C17" s="147"/>
      <c r="D17" s="147"/>
      <c r="E17" s="154"/>
      <c r="F17" s="155"/>
      <c r="G17" s="47"/>
      <c r="I17" s="45" t="s">
        <v>5</v>
      </c>
    </row>
    <row r="18" spans="1:9" s="1" customFormat="1" ht="42" x14ac:dyDescent="0.3">
      <c r="A18" s="46"/>
      <c r="B18" s="147"/>
      <c r="C18" s="147"/>
      <c r="D18" s="147"/>
      <c r="E18" s="154"/>
      <c r="F18" s="155"/>
      <c r="G18" s="47"/>
      <c r="I18" s="45" t="s">
        <v>5</v>
      </c>
    </row>
    <row r="19" spans="1:9" s="1" customFormat="1" ht="14" x14ac:dyDescent="0.3">
      <c r="F19" s="3"/>
      <c r="I19" s="15"/>
    </row>
    <row r="20" spans="1:9" s="1" customFormat="1" ht="31.15" customHeight="1" x14ac:dyDescent="0.3">
      <c r="A20" s="156" t="s">
        <v>99</v>
      </c>
      <c r="B20" s="156"/>
      <c r="C20" s="156"/>
      <c r="D20" s="156"/>
      <c r="E20" s="156"/>
      <c r="F20" s="156"/>
      <c r="G20" s="156"/>
      <c r="I20" s="40" t="s">
        <v>7</v>
      </c>
    </row>
    <row r="21" spans="1:9" s="1" customFormat="1" ht="95.15" customHeight="1" x14ac:dyDescent="0.3">
      <c r="A21" s="151"/>
      <c r="B21" s="151"/>
      <c r="C21" s="151"/>
      <c r="D21" s="151"/>
      <c r="E21" s="151"/>
      <c r="F21" s="151"/>
      <c r="G21" s="151"/>
      <c r="I21" s="40" t="s">
        <v>100</v>
      </c>
    </row>
    <row r="22" spans="1:9" s="1" customFormat="1" ht="14" x14ac:dyDescent="0.3">
      <c r="A22" s="44"/>
      <c r="B22" s="44"/>
      <c r="C22" s="44"/>
      <c r="D22" s="44"/>
      <c r="E22" s="44"/>
      <c r="F22" s="44"/>
      <c r="G22" s="44"/>
      <c r="I22" s="15"/>
    </row>
    <row r="23" spans="1:9" s="1" customFormat="1" ht="14.15" customHeight="1" x14ac:dyDescent="0.3">
      <c r="A23" s="148" t="s">
        <v>101</v>
      </c>
      <c r="B23" s="148"/>
      <c r="C23" s="150"/>
      <c r="D23" s="150"/>
      <c r="E23" s="150"/>
      <c r="F23" s="55" t="s">
        <v>102</v>
      </c>
      <c r="G23" s="4"/>
      <c r="I23" s="15"/>
    </row>
    <row r="24" spans="1:9" s="1" customFormat="1" ht="14" x14ac:dyDescent="0.3">
      <c r="I24" s="15"/>
    </row>
    <row r="25" spans="1:9" s="1" customFormat="1" ht="14" x14ac:dyDescent="0.3">
      <c r="A25" s="55" t="s">
        <v>103</v>
      </c>
      <c r="C25" s="56"/>
      <c r="D25" s="56"/>
      <c r="E25" s="56"/>
      <c r="F25" s="55" t="s">
        <v>104</v>
      </c>
      <c r="I25" s="15"/>
    </row>
    <row r="26" spans="1:9" x14ac:dyDescent="0.35">
      <c r="A26" s="149"/>
      <c r="B26" s="149"/>
      <c r="C26" s="150"/>
      <c r="D26" s="150"/>
      <c r="E26" s="150"/>
      <c r="F26" s="57" t="s">
        <v>105</v>
      </c>
    </row>
    <row r="28" spans="1:9" x14ac:dyDescent="0.35">
      <c r="A28" s="33"/>
      <c r="B28" s="33"/>
    </row>
    <row r="29" spans="1:9" x14ac:dyDescent="0.35">
      <c r="A29" s="83" t="s">
        <v>94</v>
      </c>
      <c r="B29" s="83"/>
    </row>
    <row r="30" spans="1:9" x14ac:dyDescent="0.35">
      <c r="A30" s="83" t="s">
        <v>15</v>
      </c>
      <c r="B30" s="83"/>
    </row>
  </sheetData>
  <mergeCells count="33">
    <mergeCell ref="A6:G6"/>
    <mergeCell ref="B12:D12"/>
    <mergeCell ref="B13:D13"/>
    <mergeCell ref="B14:D14"/>
    <mergeCell ref="B15:D15"/>
    <mergeCell ref="E15:F15"/>
    <mergeCell ref="B10:D10"/>
    <mergeCell ref="E10:F10"/>
    <mergeCell ref="E16:F16"/>
    <mergeCell ref="E17:F17"/>
    <mergeCell ref="E18:F18"/>
    <mergeCell ref="A20:G20"/>
    <mergeCell ref="E11:F11"/>
    <mergeCell ref="E12:F12"/>
    <mergeCell ref="E13:F13"/>
    <mergeCell ref="E14:F14"/>
    <mergeCell ref="B11:D11"/>
    <mergeCell ref="B1:D1"/>
    <mergeCell ref="A29:B29"/>
    <mergeCell ref="A30:B30"/>
    <mergeCell ref="C3:D3"/>
    <mergeCell ref="B8:D8"/>
    <mergeCell ref="B9:D9"/>
    <mergeCell ref="A23:B23"/>
    <mergeCell ref="A26:B26"/>
    <mergeCell ref="C23:E23"/>
    <mergeCell ref="C26:E26"/>
    <mergeCell ref="B16:D16"/>
    <mergeCell ref="B17:D17"/>
    <mergeCell ref="B18:D18"/>
    <mergeCell ref="A21:G21"/>
    <mergeCell ref="E8:F8"/>
    <mergeCell ref="E9:F9"/>
  </mergeCells>
  <hyperlinks>
    <hyperlink ref="A29:B29" location="PartA" display="Go to Part A" xr:uid="{00000000-0004-0000-0200-000000000000}"/>
    <hyperlink ref="A30:B30" location="partB" display="Go to Part B" xr:uid="{00000000-0004-0000-0200-000001000000}"/>
  </hyperlinks>
  <pageMargins left="0.61087962962962961" right="0.74803149606299213" top="0.98425196850393704" bottom="0.55118110236220474" header="0.39370078740157483" footer="0.31496062992125984"/>
  <pageSetup scale="73" fitToHeight="0" orientation="portrait" r:id="rId1"/>
  <headerFooter>
    <oddHeader>&amp;L&amp;"Arial,Bold Italic"&amp;15Worksheet&amp;"Arial,Bold" —&amp;"Arial,Regular" Preliminary analytical procedures — Part C&amp;R&amp;"Arial,Regular"&amp;18 &amp;"Arial,Bold"501
&amp;"Arial,Regular"&amp;8Page &amp;P of &amp;N</oddHeader>
    <oddFooter>&amp;L&amp;"Arial,Regular"&amp;8PEG Forms — Audits&amp;R&amp;"Arial,Regular"&amp;8©2022 CPA Canada PEG</oddFooter>
  </headerFooter>
  <rowBreaks count="1" manualBreakCount="1">
    <brk id="19" max="6"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8"/>
  <sheetViews>
    <sheetView workbookViewId="0">
      <selection activeCell="G17" sqref="G17"/>
    </sheetView>
  </sheetViews>
  <sheetFormatPr defaultRowHeight="14.5" x14ac:dyDescent="0.35"/>
  <sheetData>
    <row r="1" spans="1:2" x14ac:dyDescent="0.35">
      <c r="A1" t="s">
        <v>106</v>
      </c>
    </row>
    <row r="3" spans="1:2" x14ac:dyDescent="0.35">
      <c r="A3" t="s">
        <v>107</v>
      </c>
      <c r="B3" t="s">
        <v>108</v>
      </c>
    </row>
    <row r="4" spans="1:2" x14ac:dyDescent="0.35">
      <c r="A4" s="23"/>
      <c r="B4">
        <v>1</v>
      </c>
    </row>
    <row r="5" spans="1:2" x14ac:dyDescent="0.35">
      <c r="A5" s="23" t="s">
        <v>21</v>
      </c>
      <c r="B5">
        <v>2</v>
      </c>
    </row>
    <row r="6" spans="1:2" x14ac:dyDescent="0.35">
      <c r="A6" s="23" t="s">
        <v>109</v>
      </c>
      <c r="B6">
        <v>3</v>
      </c>
    </row>
    <row r="7" spans="1:2" x14ac:dyDescent="0.35">
      <c r="B7">
        <v>4</v>
      </c>
    </row>
    <row r="8" spans="1:2" x14ac:dyDescent="0.35">
      <c r="B8">
        <v>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FD68F6C4B48F34DB75F6D85B93A0D1E" ma:contentTypeVersion="6" ma:contentTypeDescription="Create a new document." ma:contentTypeScope="" ma:versionID="c9a46a7378da38baa1dc60e44b3366e0">
  <xsd:schema xmlns:xsd="http://www.w3.org/2001/XMLSchema" xmlns:xs="http://www.w3.org/2001/XMLSchema" xmlns:p="http://schemas.microsoft.com/office/2006/metadata/properties" xmlns:ns2="fd343ddb-1387-4442-b12e-27aadb4be610" xmlns:ns3="9aa58998-f2e4-4026-98b7-5cd8f45e6b32" targetNamespace="http://schemas.microsoft.com/office/2006/metadata/properties" ma:root="true" ma:fieldsID="2d63a174da22b81da2f703def5e64518" ns2:_="" ns3:_="">
    <xsd:import namespace="fd343ddb-1387-4442-b12e-27aadb4be610"/>
    <xsd:import namespace="9aa58998-f2e4-4026-98b7-5cd8f45e6b3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343ddb-1387-4442-b12e-27aadb4be6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aa58998-f2e4-4026-98b7-5cd8f45e6b3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D309D6F-97E9-4A2B-9167-565556697AA3}">
  <ds:schemaRefs>
    <ds:schemaRef ds:uri="http://www.w3.org/XML/1998/namespace"/>
    <ds:schemaRef ds:uri="http://schemas.microsoft.com/office/2006/documentManagement/types"/>
    <ds:schemaRef ds:uri="http://schemas.microsoft.com/office/2006/metadata/properties"/>
    <ds:schemaRef ds:uri="http://purl.org/dc/terms/"/>
    <ds:schemaRef ds:uri="http://purl.org/dc/elements/1.1/"/>
    <ds:schemaRef ds:uri="http://purl.org/dc/dcmitype/"/>
    <ds:schemaRef ds:uri="http://schemas.microsoft.com/office/infopath/2007/PartnerControls"/>
    <ds:schemaRef ds:uri="http://schemas.openxmlformats.org/package/2006/metadata/core-properties"/>
    <ds:schemaRef ds:uri="9aa58998-f2e4-4026-98b7-5cd8f45e6b32"/>
    <ds:schemaRef ds:uri="fd343ddb-1387-4442-b12e-27aadb4be610"/>
  </ds:schemaRefs>
</ds:datastoreItem>
</file>

<file path=customXml/itemProps2.xml><?xml version="1.0" encoding="utf-8"?>
<ds:datastoreItem xmlns:ds="http://schemas.openxmlformats.org/officeDocument/2006/customXml" ds:itemID="{86375C43-EC19-4D20-89F4-3C79CEB5A61B}">
  <ds:schemaRefs>
    <ds:schemaRef ds:uri="http://schemas.microsoft.com/sharepoint/v3/contenttype/forms"/>
  </ds:schemaRefs>
</ds:datastoreItem>
</file>

<file path=customXml/itemProps3.xml><?xml version="1.0" encoding="utf-8"?>
<ds:datastoreItem xmlns:ds="http://schemas.openxmlformats.org/officeDocument/2006/customXml" ds:itemID="{5D3FD27A-ECC7-4B69-B753-B8B9D662F8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343ddb-1387-4442-b12e-27aadb4be610"/>
    <ds:schemaRef ds:uri="9aa58998-f2e4-4026-98b7-5cd8f45e6b3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37</vt:i4>
      </vt:variant>
    </vt:vector>
  </HeadingPairs>
  <TitlesOfParts>
    <vt:vector size="41" baseType="lpstr">
      <vt:lpstr>501 - Part A</vt:lpstr>
      <vt:lpstr>501 - Part B</vt:lpstr>
      <vt:lpstr>501- Part C</vt:lpstr>
      <vt:lpstr>programming</vt:lpstr>
      <vt:lpstr>budget</vt:lpstr>
      <vt:lpstr>budget1</vt:lpstr>
      <vt:lpstr>budget2</vt:lpstr>
      <vt:lpstr>current</vt:lpstr>
      <vt:lpstr>PartA</vt:lpstr>
      <vt:lpstr>partB</vt:lpstr>
      <vt:lpstr>PartC</vt:lpstr>
      <vt:lpstr>'501 - Part A'!Print_Area</vt:lpstr>
      <vt:lpstr>'501 - Part B'!Print_Area</vt:lpstr>
      <vt:lpstr>'501- Part C'!Print_Area</vt:lpstr>
      <vt:lpstr>prior</vt:lpstr>
      <vt:lpstr>prior_period</vt:lpstr>
      <vt:lpstr>Prior_period1</vt:lpstr>
      <vt:lpstr>Prior_period2</vt:lpstr>
      <vt:lpstr>rev_streams</vt:lpstr>
      <vt:lpstr>stream</vt:lpstr>
      <vt:lpstr>stream1</vt:lpstr>
      <vt:lpstr>stream1.1</vt:lpstr>
      <vt:lpstr>stream1.2</vt:lpstr>
      <vt:lpstr>stream1.3</vt:lpstr>
      <vt:lpstr>stream2</vt:lpstr>
      <vt:lpstr>stream2.1</vt:lpstr>
      <vt:lpstr>stream2.2</vt:lpstr>
      <vt:lpstr>stream2.3</vt:lpstr>
      <vt:lpstr>stream3</vt:lpstr>
      <vt:lpstr>stream3.1</vt:lpstr>
      <vt:lpstr>stream3.2</vt:lpstr>
      <vt:lpstr>stream3.3</vt:lpstr>
      <vt:lpstr>stream4</vt:lpstr>
      <vt:lpstr>stream4.1</vt:lpstr>
      <vt:lpstr>stream4.2</vt:lpstr>
      <vt:lpstr>stream4.3</vt:lpstr>
      <vt:lpstr>stream5</vt:lpstr>
      <vt:lpstr>stream5.1</vt:lpstr>
      <vt:lpstr>stream5.2</vt:lpstr>
      <vt:lpstr>stream5.3</vt:lpstr>
      <vt:lpstr>yes_no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Stuart</dc:creator>
  <cp:keywords/>
  <dc:description/>
  <cp:lastModifiedBy>Chris Castro</cp:lastModifiedBy>
  <cp:revision/>
  <cp:lastPrinted>2022-02-14T16:23:29Z</cp:lastPrinted>
  <dcterms:created xsi:type="dcterms:W3CDTF">2007-08-01T21:24:18Z</dcterms:created>
  <dcterms:modified xsi:type="dcterms:W3CDTF">2022-02-14T16:28:15Z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0x0101000FD68F6C4B48F34DB75F6D85B93A0D1E</vt:lpwstr>
  </property>
</Properties>
</file>